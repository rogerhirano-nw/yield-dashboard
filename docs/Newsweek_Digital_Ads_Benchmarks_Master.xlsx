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s" sheetId="1" state="visible" r:id="rId3"/>
    <sheet name="Performance Tracker" sheetId="2" state="visible" r:id="rId4"/>
    <sheet name="Thresholds" sheetId="3" state="visible" r:id="rId5"/>
    <sheet name="Defini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<sst xmlns="http://schemas.openxmlformats.org/spreadsheetml/2006/main" count="753" uniqueCount="393">
  <si>
    <t xml:space="preserve">Newsweek Digital Ads — Performance Benchmarks</t>
  </si>
  <si>
    <t xml:space="preserve">Companion to Newsweek_Digital_Ads_Specs_Master.xlsx. One row per sellable placement; targets normalised out of the specs master's free-text Benchmarks column into numeric, comparable fields.</t>
  </si>
  <si>
    <t xml:space="preserve">PLACEMENT</t>
  </si>
  <si>
    <t xml:space="preserve">TARGET</t>
  </si>
  <si>
    <t xml:space="preserve">MEASUREMENT</t>
  </si>
  <si>
    <t xml:space="preserve">GOVERNANCE</t>
  </si>
  <si>
    <t xml:space="preserve">Ad Product</t>
  </si>
  <si>
    <t xml:space="preserve">Ad Size</t>
  </si>
  <si>
    <t xml:space="preserve">Website(s)</t>
  </si>
  <si>
    <t xml:space="preserve">Location</t>
  </si>
  <si>
    <t xml:space="preserve">Section</t>
  </si>
  <si>
    <t xml:space="preserve">Canonical Format</t>
  </si>
  <si>
    <t xml:space="preserve">Benchmark Key</t>
  </si>
  <si>
    <t xml:space="preserve">CTR target</t>
  </si>
  <si>
    <t xml:space="preserve">Viewability target</t>
  </si>
  <si>
    <t xml:space="preserve">VCR target</t>
  </si>
  <si>
    <t xml:space="preserve">Engagement target</t>
  </si>
  <si>
    <t xml:space="preserve">Viewability measurable?</t>
  </si>
  <si>
    <t xml:space="preserve">Measurement &amp; delivery notes</t>
  </si>
  <si>
    <t xml:space="preserve">Targets set?</t>
  </si>
  <si>
    <t xml:space="preserve">Review flag</t>
  </si>
  <si>
    <t xml:space="preserve">Source (verbatim, specs master)</t>
  </si>
  <si>
    <t xml:space="preserve">Last reviewed</t>
  </si>
  <si>
    <t xml:space="preserve">STANDARD BANNERS</t>
  </si>
  <si>
    <t xml:space="preserve">Medium Rectangle</t>
  </si>
  <si>
    <t xml:space="preserve">300x250</t>
  </si>
  <si>
    <t xml:space="preserve">newsweek.com</t>
  </si>
  <si>
    <t xml:space="preserve">Article Pages</t>
  </si>
  <si>
    <t xml:space="preserve">Display</t>
  </si>
  <si>
    <t xml:space="preserve">Yes</t>
  </si>
  <si>
    <t xml:space="preserve">Standard GPT slot; measures organically in GAM Active View.</t>
  </si>
  <si>
    <t xml:space="preserve">0.10% CTR / 70% Viewability</t>
  </si>
  <si>
    <t xml:space="preserve">Half Page</t>
  </si>
  <si>
    <t xml:space="preserve">300x600</t>
  </si>
  <si>
    <t xml:space="preserve">Leaderboard</t>
  </si>
  <si>
    <t xml:space="preserve">728x90</t>
  </si>
  <si>
    <t xml:space="preserve">Billboard ad</t>
  </si>
  <si>
    <t xml:space="preserve">970x250</t>
  </si>
  <si>
    <t xml:space="preserve">Smartphone Banner</t>
  </si>
  <si>
    <t xml:space="preserve">300x50 / 320x50</t>
  </si>
  <si>
    <t xml:space="preserve">Insights Premium Spotlight</t>
  </si>
  <si>
    <t xml:space="preserve">1200x675 / Logo</t>
  </si>
  <si>
    <t xml:space="preserve">Homepage</t>
  </si>
  <si>
    <t xml:space="preserve">Native-style unit; renders in-frame.</t>
  </si>
  <si>
    <t xml:space="preserve">No viewability target set - every other standard banner carries 70%. Confirm intended.</t>
  </si>
  <si>
    <t xml:space="preserve">0.50% CTR</t>
  </si>
  <si>
    <t xml:space="preserve">VIDEO PRE-ROLL</t>
  </si>
  <si>
    <t xml:space="preserve">Pre Roll</t>
  </si>
  <si>
    <t xml:space="preserve">16:9</t>
  </si>
  <si>
    <t xml:space="preserve">Video</t>
  </si>
  <si>
    <t xml:space="preserve">In-player video; VCR from GAM video metrics.</t>
  </si>
  <si>
    <t xml:space="preserve">0.60% CTR is high for pre-roll - confirm this is the sold target, not a stretch goal.</t>
  </si>
  <si>
    <t xml:space="preserve">0.60% CTR / 70% Viewability / 70% VCR</t>
  </si>
  <si>
    <t xml:space="preserve">CENTERSTAGE</t>
  </si>
  <si>
    <t xml:space="preserve">Desktop Ribbon</t>
  </si>
  <si>
    <t xml:space="preserve">3840x350</t>
  </si>
  <si>
    <t xml:space="preserve">Centerstage</t>
  </si>
  <si>
    <t xml:space="preserve">In-frame takeover render; measured 58-67% viewable in production.</t>
  </si>
  <si>
    <t xml:space="preserve">1% CTR / 70% Viewability</t>
  </si>
  <si>
    <t xml:space="preserve">Desktop Large Banner</t>
  </si>
  <si>
    <t xml:space="preserve">3200x700</t>
  </si>
  <si>
    <t xml:space="preserve">In-frame takeover render.</t>
  </si>
  <si>
    <t xml:space="preserve">0.10% CTR vs 1% on Ribbon / Mobile Sticky in the same family - 10x gap, confirm.</t>
  </si>
  <si>
    <t xml:space="preserve">Mobile Sticky</t>
  </si>
  <si>
    <t xml:space="preserve">900x350</t>
  </si>
  <si>
    <t xml:space="preserve">Mobile Large Banner</t>
  </si>
  <si>
    <t xml:space="preserve">1200x900</t>
  </si>
  <si>
    <t xml:space="preserve">Video Takeover Desktop</t>
  </si>
  <si>
    <t xml:space="preserve">Video takeover; start/complete tracked.</t>
  </si>
  <si>
    <t xml:space="preserve">Video unit with no VCR target - add one to grade completion.</t>
  </si>
  <si>
    <t xml:space="preserve">Video Takeover Mobile</t>
  </si>
  <si>
    <t xml:space="preserve">9:16</t>
  </si>
  <si>
    <t xml:space="preserve">FITO DISPLAY (FIRST IMPRESSION TAKE OVER)</t>
  </si>
  <si>
    <t xml:space="preserve">Desktop Top Banner</t>
  </si>
  <si>
    <t xml:space="preserve">FITO DISPLAY</t>
  </si>
  <si>
    <t xml:space="preserve">FITO</t>
  </si>
  <si>
    <t xml:space="preserve">Yes - verify</t>
  </si>
  <si>
    <t xml:space="preserve">Served via carrier-slot placement injection; confirm Active View reads real geometry on the live creative.</t>
  </si>
  <si>
    <t xml:space="preserve">No viewability target set - sibling FITO rows all carry 70%.</t>
  </si>
  <si>
    <t xml:space="preserve">0.50% CTR (stored as a raw number in the specs master)</t>
  </si>
  <si>
    <t xml:space="preserve">1300x350 or 320x50</t>
  </si>
  <si>
    <t xml:space="preserve">Standard sticky render.</t>
  </si>
  <si>
    <t xml:space="preserve">Fluid 250 (in-article, optional)</t>
  </si>
  <si>
    <t xml:space="preserve">2560x250</t>
  </si>
  <si>
    <t xml:space="preserve">Fluid in-article render.</t>
  </si>
  <si>
    <t xml:space="preserve">No CTR target set.</t>
  </si>
  <si>
    <t xml:space="preserve">70% Viewability</t>
  </si>
  <si>
    <t xml:space="preserve">In-Article (Desktop)</t>
  </si>
  <si>
    <t xml:space="preserve">3200x500, 1600x250 or 970x250</t>
  </si>
  <si>
    <t xml:space="preserve">Standard in-article slot.</t>
  </si>
  <si>
    <t xml:space="preserve">Mobile Top Banner</t>
  </si>
  <si>
    <t xml:space="preserve">1200x900 or 300x250</t>
  </si>
  <si>
    <t xml:space="preserve">Standard GPT slot.</t>
  </si>
  <si>
    <t xml:space="preserve">FITO VIDEO (FIRST IMPRESSION TAKE OVER)</t>
  </si>
  <si>
    <t xml:space="preserve">2310x500, 3200x500 or 970x250</t>
  </si>
  <si>
    <t xml:space="preserve">FITO VIDEO</t>
  </si>
  <si>
    <t xml:space="preserve">In-banner video via injected carrier slot; confirm Active View geometry.</t>
  </si>
  <si>
    <t xml:space="preserve">In-banner video with no VCR target - add one to grade completion.</t>
  </si>
  <si>
    <t xml:space="preserve">0.60% CTR / 70% Viewability</t>
  </si>
  <si>
    <t xml:space="preserve">Mobile Leaderboard (Sticky)</t>
  </si>
  <si>
    <t xml:space="preserve">Served via carrier-slot placement injection; confirm Active View geometry.</t>
  </si>
  <si>
    <t xml:space="preserve">0.10% CTR here vs 0.60% on the other FITO Video units - confirm.</t>
  </si>
  <si>
    <t xml:space="preserve">Medium Rectangle (mobile)</t>
  </si>
  <si>
    <t xml:space="preserve">Desktop Leaderboard (Sticky)</t>
  </si>
  <si>
    <t xml:space="preserve">Video Takeover</t>
  </si>
  <si>
    <t xml:space="preserve">Horizontal 16:9</t>
  </si>
  <si>
    <t xml:space="preserve">HIGH IMPACT</t>
  </si>
  <si>
    <t xml:space="preserve">Fluid 250</t>
  </si>
  <si>
    <t xml:space="preserve">2560x600</t>
  </si>
  <si>
    <t xml:space="preserve">Engagement rate is vendor-reported, not a GAM metric - pull it from the high-impact partner's report.</t>
  </si>
  <si>
    <t xml:space="preserve">0.15% CTR, 40% VCR, 65% Engagement, 70% Viewability</t>
  </si>
  <si>
    <t xml:space="preserve">Fluid 400</t>
  </si>
  <si>
    <t xml:space="preserve">Engagement rate is vendor-reported, not a GAM metric.</t>
  </si>
  <si>
    <t xml:space="preserve">0.20% CTR, 45% VCR, 60% Engagement, 50% Viewability</t>
  </si>
  <si>
    <t xml:space="preserve">Fluid 600</t>
  </si>
  <si>
    <t xml:space="preserve">0.25% CTR, 45% VCR, 60% Engagement, 50% Viewability</t>
  </si>
  <si>
    <t xml:space="preserve">Responsive</t>
  </si>
  <si>
    <t xml:space="preserve">2560x853</t>
  </si>
  <si>
    <t xml:space="preserve">0.15% CTR, 55% VCR, 35% Engagement, 65% Viewability</t>
  </si>
  <si>
    <t xml:space="preserve">Page Scroller</t>
  </si>
  <si>
    <t xml:space="preserve">1920x1080</t>
  </si>
  <si>
    <t xml:space="preserve">Interscroller</t>
  </si>
  <si>
    <t xml:space="preserve">Scroller units can render outside the GPT iframe; confirm Active View is reading real geometry.</t>
  </si>
  <si>
    <t xml:space="preserve">0.35% CTR, 65% VCR, 70% Engagement, 40% Viewability</t>
  </si>
  <si>
    <t xml:space="preserve">Display Interscroller</t>
  </si>
  <si>
    <t xml:space="preserve">700x1600</t>
  </si>
  <si>
    <t xml:space="preserve">Article Pages (Mobile Only)</t>
  </si>
  <si>
    <t xml:space="preserve">Yes - iframe mirror required</t>
  </si>
  <si>
    <t xml:space="preserve">Breakout render: Active View read ~0% until the iframe-mirror fix was applied (then 34-57%). Confirm the mirror is live on the creative before grading viewability. Never sell a vCPM goal on this unit.</t>
  </si>
  <si>
    <t xml:space="preserve">No viewability target set - decide one now that the mirror makes the metric real.</t>
  </si>
  <si>
    <t xml:space="preserve">0.40% CTR</t>
  </si>
  <si>
    <t xml:space="preserve">Video Interscroller</t>
  </si>
  <si>
    <t xml:space="preserve">Vertical 9:16</t>
  </si>
  <si>
    <t xml:space="preserve">Breakout render: same iframe-mirror caveat as Display Interscroller. 60-second creative carries a lower 40% viewability target.</t>
  </si>
  <si>
    <t xml:space="preserve">INTERPRETED: source reads '0.70% viewability / 0.40% (60 seconds)'. Entered as 70% (and 40% at :60) - a 0.70% viewability target is not plausible. Confirm.</t>
  </si>
  <si>
    <t xml:space="preserve">1.00% CTR / 0.70% viewability (30 seconds) / 0.40% (60 seconds)</t>
  </si>
  <si>
    <t xml:space="preserve">SOCIAL</t>
  </si>
  <si>
    <t xml:space="preserve">Facebook Post</t>
  </si>
  <si>
    <t xml:space="preserve">600x600</t>
  </si>
  <si>
    <t xml:space="preserve">www.facebook.com</t>
  </si>
  <si>
    <t xml:space="preserve">Facebook Placements (feed, stories)</t>
  </si>
  <si>
    <t xml:space="preserve">Social</t>
  </si>
  <si>
    <t xml:space="preserve">Platform-reported</t>
  </si>
  <si>
    <t xml:space="preserve">Meta-reported metrics only; no GAM Active View, no DV.</t>
  </si>
  <si>
    <t xml:space="preserve">0.90% CTR vs 0.10% on Instagram - 9x gap between two feed placements, confirm.</t>
  </si>
  <si>
    <t xml:space="preserve">0.90% CTR</t>
  </si>
  <si>
    <t xml:space="preserve">Instagram Post</t>
  </si>
  <si>
    <t xml:space="preserve">www.instagram.com</t>
  </si>
  <si>
    <t xml:space="preserve">Instagram Placements (feed, stories)</t>
  </si>
  <si>
    <t xml:space="preserve">Meta-reported metrics only.</t>
  </si>
  <si>
    <t xml:space="preserve">0.10% CTR</t>
  </si>
  <si>
    <t xml:space="preserve">Instagram and Facebook Video</t>
  </si>
  <si>
    <t xml:space="preserve">www.facebook.com / www.instagram.com</t>
  </si>
  <si>
    <t xml:space="preserve">Instagram &amp; Facebook Placements (feed, stories)</t>
  </si>
  <si>
    <t xml:space="preserve">NO BENCHMARK SET - needs a CTR and a VCR target.</t>
  </si>
  <si>
    <t xml:space="preserve">LinkedIn Display</t>
  </si>
  <si>
    <t xml:space="preserve">1200x627</t>
  </si>
  <si>
    <t xml:space="preserve">www.linkedin.com</t>
  </si>
  <si>
    <t xml:space="preserve">Feed</t>
  </si>
  <si>
    <t xml:space="preserve">LinkedIn-reported metrics only.</t>
  </si>
  <si>
    <t xml:space="preserve">0.80% CTR (stored as a raw number in the specs master)</t>
  </si>
  <si>
    <t xml:space="preserve">LinkedIn Video</t>
  </si>
  <si>
    <t xml:space="preserve">1:1 (feed) / 9:16 (mobile)</t>
  </si>
  <si>
    <t xml:space="preserve">Video unit with no VCR target.</t>
  </si>
  <si>
    <t xml:space="preserve">1.00% CTR (stored as a raw number in the specs master)</t>
  </si>
  <si>
    <t xml:space="preserve">TikTok Display</t>
  </si>
  <si>
    <t xml:space="preserve">1200x628</t>
  </si>
  <si>
    <t xml:space="preserve">www.tiktok.com</t>
  </si>
  <si>
    <t xml:space="preserve">TikTok-reported metrics only.</t>
  </si>
  <si>
    <t xml:space="preserve">NO BENCHMARK SET - needs a CTR target.</t>
  </si>
  <si>
    <t xml:space="preserve">TikTok Video</t>
  </si>
  <si>
    <t xml:space="preserve">NEWSLETTER</t>
  </si>
  <si>
    <t xml:space="preserve">Email Newsletter Banner</t>
  </si>
  <si>
    <t xml:space="preserve">Newsletter</t>
  </si>
  <si>
    <t xml:space="preserve">N/A</t>
  </si>
  <si>
    <t xml:space="preserve">Email render - no viewability measurement is possible. CTR is ESP-reported.</t>
  </si>
  <si>
    <t xml:space="preserve">0.0006% CTR is ~370x below the Long Banner target in the same newsletter. Almost certainly a decimal error - confirm the intended value (0.06%? 0.6%?).</t>
  </si>
  <si>
    <t xml:space="preserve">0.0006% CTR</t>
  </si>
  <si>
    <t xml:space="preserve">Long Banner</t>
  </si>
  <si>
    <t xml:space="preserve">970x550</t>
  </si>
  <si>
    <t xml:space="preserve">Email render - no viewability measurement. CTR is ESP-reported.</t>
  </si>
  <si>
    <t xml:space="preserve">0.22% CTR</t>
  </si>
  <si>
    <t xml:space="preserve">Logo</t>
  </si>
  <si>
    <t xml:space="preserve">62px height, 200-400px width</t>
  </si>
  <si>
    <t xml:space="preserve">Email Newsletter Logo</t>
  </si>
  <si>
    <t xml:space="preserve">Native</t>
  </si>
  <si>
    <t xml:space="preserve">600x314</t>
  </si>
  <si>
    <t xml:space="preserve">Email Newsletter Native</t>
  </si>
  <si>
    <t xml:space="preserve">0.60% CTR</t>
  </si>
  <si>
    <t xml:space="preserve">PODCAST</t>
  </si>
  <si>
    <t xml:space="preserve">Podcast Audio Ads</t>
  </si>
  <si>
    <t xml:space="preserve">up to 1-minute host-read</t>
  </si>
  <si>
    <t xml:space="preserve">Article Pages + Podcast Section</t>
  </si>
  <si>
    <t xml:space="preserve">Podcast</t>
  </si>
  <si>
    <t xml:space="preserve">Audio - no CTR or viewability. Grade on delivered impressions and completion rate from the podcast host.</t>
  </si>
  <si>
    <t xml:space="preserve">Specs master reads 'N/A'. Consider setting a listen-through-rate target instead.</t>
  </si>
  <si>
    <t xml:space="preserve">APPLE NEWS</t>
  </si>
  <si>
    <t xml:space="preserve">Standard</t>
  </si>
  <si>
    <t xml:space="preserve">apple.news</t>
  </si>
  <si>
    <t xml:space="preserve">Apple News</t>
  </si>
  <si>
    <t xml:space="preserve">Apple-reported</t>
  </si>
  <si>
    <t xml:space="preserve">100% viewability is Apple's guaranteed-view delivery model, not a GAM Active View measurement. Do not compare it to on-site viewability.</t>
  </si>
  <si>
    <t xml:space="preserve">Source reads '0.20 CTR' with no % sign - entered as 0.20%.</t>
  </si>
  <si>
    <t xml:space="preserve">0.20 CTR / 100% Viewability</t>
  </si>
  <si>
    <t xml:space="preserve">Double</t>
  </si>
  <si>
    <t xml:space="preserve">1242x332 and 1536x264</t>
  </si>
  <si>
    <t xml:space="preserve">Apple guaranteed-view model, not GAM Active View.</t>
  </si>
  <si>
    <t xml:space="preserve">Source reads '0.30 CTR' with no % sign - entered as 0.30%.</t>
  </si>
  <si>
    <t xml:space="preserve">0.30 CTR / 100% Viewability</t>
  </si>
  <si>
    <t xml:space="preserve">Large</t>
  </si>
  <si>
    <t xml:space="preserve">1242x699 and 1536x864</t>
  </si>
  <si>
    <t xml:space="preserve">MREC</t>
  </si>
  <si>
    <t xml:space="preserve">900x750</t>
  </si>
  <si>
    <t xml:space="preserve">Homepage + Article Pages</t>
  </si>
  <si>
    <t xml:space="preserve">Interstitial</t>
  </si>
  <si>
    <t xml:space="preserve">1242x2208 and 1536x2048</t>
  </si>
  <si>
    <t xml:space="preserve">PreRoll and OutStream</t>
  </si>
  <si>
    <t xml:space="preserve">1080x1920, 1080x1080 or 1920x1080</t>
  </si>
  <si>
    <t xml:space="preserve">Video unit with no VCR target. Source reads '0.30 CTR' with no % sign - entered as 0.30%.</t>
  </si>
  <si>
    <t xml:space="preserve">Sponsored Content</t>
  </si>
  <si>
    <t xml:space="preserve">1% CTR / 100% Viewability</t>
  </si>
  <si>
    <t xml:space="preserve">INTERSTITIAL</t>
  </si>
  <si>
    <t xml:space="preserve">Mobile</t>
  </si>
  <si>
    <t xml:space="preserve">900x1600</t>
  </si>
  <si>
    <t xml:space="preserve">100% viewability assumes a full-screen guaranteed view; confirm what GAM Active View actually reports before grading against it.</t>
  </si>
  <si>
    <t xml:space="preserve">Source reads '0.80 CTR' with no % sign - entered as 0.80%.</t>
  </si>
  <si>
    <t xml:space="preserve">0.80 CTR / 100% Viewability</t>
  </si>
  <si>
    <t xml:space="preserve">Desktop</t>
  </si>
  <si>
    <t xml:space="preserve">1600x900</t>
  </si>
  <si>
    <t xml:space="preserve">100% viewability assumes a full-screen guaranteed view; confirm what GAM Active View actually reports.</t>
  </si>
  <si>
    <t xml:space="preserve">Legend</t>
  </si>
  <si>
    <t xml:space="preserve">• Percentages are stored as fractions (0.001 = 0.10%). Blank = no target set in the specs master; the 'Targets set?' column flags those.</t>
  </si>
  <si>
    <t xml:space="preserve">• 'Benchmark Key' is a formula (Section · Ad Product · Ad Size) and is the unique lookup key used by the Performance Tracker sheet. Don't overwrite it.</t>
  </si>
  <si>
    <t xml:space="preserve">• 'Review flag' lists what needs a human decision — unit-notation ambiguities, missing targets, and internal inconsistencies found in the source file.</t>
  </si>
  <si>
    <t xml:space="preserve">• Where a review flag says INTERPRETED, the target in this sheet is a judgement call, not a literal read of the source. Column Q holds the verbatim original.</t>
  </si>
  <si>
    <t xml:space="preserve">• Targets are the SOLD promise. Banding (how far under target counts as WATCH vs MISS) lives on the Thresholds sheet and is applied on the Performance Tracker.</t>
  </si>
  <si>
    <t xml:space="preserve">Performance Tracker — actual vs benchmark</t>
  </si>
  <si>
    <t xml:space="preserve">Fill the amber cells. Everything else is a formula: rates, the benchmark pulled from the Benchmarks sheet, the gap, and the verdict.</t>
  </si>
  <si>
    <t xml:space="preserve">LINE ITEM</t>
  </si>
  <si>
    <t xml:space="preserve">DELIVERY (paste from GAM)</t>
  </si>
  <si>
    <t xml:space="preserve">ACTUAL</t>
  </si>
  <si>
    <t xml:space="preserve">TARGET (auto)</t>
  </si>
  <si>
    <t xml:space="preserve">GAP vs target (pp)</t>
  </si>
  <si>
    <t xml:space="preserve">VERDICT</t>
  </si>
  <si>
    <t xml:space="preserve">Line item / campaign</t>
  </si>
  <si>
    <t xml:space="preserve">Benchmark Key (pick from list)</t>
  </si>
  <si>
    <t xml:space="preserve">Flight start</t>
  </si>
  <si>
    <t xml:space="preserve">Flight end</t>
  </si>
  <si>
    <t xml:space="preserve">Impressions</t>
  </si>
  <si>
    <t xml:space="preserve">Clicks</t>
  </si>
  <si>
    <t xml:space="preserve">Measurable impr.</t>
  </si>
  <si>
    <t xml:space="preserve">Viewable impr.</t>
  </si>
  <si>
    <t xml:space="preserve">Video starts</t>
  </si>
  <si>
    <t xml:space="preserve">Video completes</t>
  </si>
  <si>
    <t xml:space="preserve">CTR</t>
  </si>
  <si>
    <t xml:space="preserve">Viewability</t>
  </si>
  <si>
    <t xml:space="preserve">VCR</t>
  </si>
  <si>
    <t xml:space="preserve">Overall</t>
  </si>
  <si>
    <t xml:space="preserve">EXAMPLE — Infiniti Newsmakers (delete this row)</t>
  </si>
  <si>
    <t xml:space="preserve">STANDARD BANNERS · Medium Rectangle · 300x250</t>
  </si>
  <si>
    <t xml:space="preserve">How to use</t>
  </si>
  <si>
    <t xml:space="preserve">• AMBER cells are yours to fill. Grey cells are formulas — don't type over them.</t>
  </si>
  <si>
    <t xml:space="preserve">• Column C is a dropdown of every Benchmark Key. Pick one and the targets, gaps and verdicts fill in.</t>
  </si>
  <si>
    <t xml:space="preserve">• Paste Impressions / Clicks / Measurable / Viewable straight from a GAM delivery report; leave the video columns blank on display lines.</t>
  </si>
  <si>
    <t xml:space="preserve">• Verdicts: PASS at or above target · WATCH within the tolerance band on the Thresholds sheet · MISS below it · THIN when the line hasn't delivered enough impressions for a fair read.</t>
  </si>
  <si>
    <t xml:space="preserve">• The row above is an example. Delete it before you share the file.</t>
  </si>
  <si>
    <t xml:space="preserve">Thresholds, banding &amp; rollups</t>
  </si>
  <si>
    <t xml:space="preserve">The tolerance levers the Performance Tracker grades against, plus target averages by format and by section.</t>
  </si>
  <si>
    <t xml:space="preserve">BANDING LEVERS — edit these</t>
  </si>
  <si>
    <t xml:space="preserve">WATCH band — a metric at or above this share of target is WATCH, below it is MISS</t>
  </si>
  <si>
    <t xml:space="preserve">0.90 means: 63% viewability against a 70% target = WATCH; 62% = MISS.</t>
  </si>
  <si>
    <t xml:space="preserve">Minimum impressions for a valid read — below this the verdict is THIN</t>
  </si>
  <si>
    <t xml:space="preserve">Stops a 200-impression line from being graded a MISS on noise.</t>
  </si>
  <si>
    <t xml:space="preserve">Benchmark review cadence (months)</t>
  </si>
  <si>
    <t xml:space="preserve">How often this sheet's targets should be re-checked against actual delivery.</t>
  </si>
  <si>
    <t xml:space="preserve">TARGET ROLLUP BY CANONICAL FORMAT (auto)</t>
  </si>
  <si>
    <t xml:space="preserve">Placements</t>
  </si>
  <si>
    <t xml:space="preserve">Avg CTR target</t>
  </si>
  <si>
    <t xml:space="preserve">Avg viewability target</t>
  </si>
  <si>
    <t xml:space="preserve">Avg VCR target</t>
  </si>
  <si>
    <t xml:space="preserve">Averages ignore blanks, so a format whose placements have no viewability target reads '—' rather than 0%.</t>
  </si>
  <si>
    <t xml:space="preserve">BENCHMARK KEY LIST — validation source for the Performance Tracker dropdown</t>
  </si>
  <si>
    <t xml:space="preserve">Maintenance: add a row to Benchmarks → paste its Benchmark Key here too, or it won't appear in the dropdown.</t>
  </si>
  <si>
    <t xml:space="preserve">STANDARD BANNERS · Half Page · 300x600</t>
  </si>
  <si>
    <t xml:space="preserve">STANDARD BANNERS · Leaderboard · 728x90</t>
  </si>
  <si>
    <t xml:space="preserve">STANDARD BANNERS · Billboard ad · 970x250</t>
  </si>
  <si>
    <t xml:space="preserve">STANDARD BANNERS · Smartphone Banner · 300x50 / 320x50</t>
  </si>
  <si>
    <t xml:space="preserve">STANDARD BANNERS · Insights Premium Spotlight · 1200x675 / Logo</t>
  </si>
  <si>
    <t xml:space="preserve">VIDEO PRE-ROLL · Pre Roll · 16:9</t>
  </si>
  <si>
    <t xml:space="preserve">CENTERSTAGE · Desktop Ribbon · 3840x350</t>
  </si>
  <si>
    <t xml:space="preserve">CENTERSTAGE · Desktop Large Banner · 3200x700</t>
  </si>
  <si>
    <t xml:space="preserve">CENTERSTAGE · Mobile Sticky · 900x350</t>
  </si>
  <si>
    <t xml:space="preserve">CENTERSTAGE · Mobile Large Banner · 1200x900</t>
  </si>
  <si>
    <t xml:space="preserve">CENTERSTAGE · Video Takeover Desktop · 16:9</t>
  </si>
  <si>
    <t xml:space="preserve">CENTERSTAGE · Video Takeover Mobile · 9:16</t>
  </si>
  <si>
    <t xml:space="preserve">FITO DISPLAY · Desktop Top Banner · 970x250</t>
  </si>
  <si>
    <t xml:space="preserve">FITO DISPLAY · Mobile Sticky · 1300x350 or 320x50</t>
  </si>
  <si>
    <t xml:space="preserve">FITO DISPLAY · Fluid 250 (in-article, optional) · 2560x250</t>
  </si>
  <si>
    <t xml:space="preserve">FITO DISPLAY · In-Article (Desktop) · 3200x500, 1600x250 or 970x250</t>
  </si>
  <si>
    <t xml:space="preserve">FITO DISPLAY · Mobile Top Banner · 1200x900 or 300x250</t>
  </si>
  <si>
    <t xml:space="preserve">FITO DISPLAY · Medium Rectangle · 300x250</t>
  </si>
  <si>
    <t xml:space="preserve">FITO DISPLAY · Leaderboard · 728x90</t>
  </si>
  <si>
    <t xml:space="preserve">FITO VIDEO · Desktop Top Banner · 2310x500, 3200x500 or 970x250</t>
  </si>
  <si>
    <t xml:space="preserve">FITO VIDEO · Mobile Leaderboard (Sticky) · 1300x350 or 320x50</t>
  </si>
  <si>
    <t xml:space="preserve">FITO VIDEO · Mobile Top Banner · 1200x900 or 300x250</t>
  </si>
  <si>
    <t xml:space="preserve">FITO VIDEO · Fluid 250 (in-article, optional) · 2560x250</t>
  </si>
  <si>
    <t xml:space="preserve">FITO VIDEO · In-Article (Desktop) · 3200x500, 1600x250 or 970x250</t>
  </si>
  <si>
    <t xml:space="preserve">FITO VIDEO · Medium Rectangle (mobile) · 300x250</t>
  </si>
  <si>
    <t xml:space="preserve">FITO VIDEO · Desktop Leaderboard (Sticky) · 728x90</t>
  </si>
  <si>
    <t xml:space="preserve">FITO VIDEO · Video Takeover · Horizontal 16:9</t>
  </si>
  <si>
    <t xml:space="preserve">HIGH IMPACT · Fluid 250 · 2560x600</t>
  </si>
  <si>
    <t xml:space="preserve">HIGH IMPACT · Fluid 400 · 2560x600</t>
  </si>
  <si>
    <t xml:space="preserve">HIGH IMPACT · Fluid 600 · 2560x600</t>
  </si>
  <si>
    <t xml:space="preserve">HIGH IMPACT · Responsive · 2560x853</t>
  </si>
  <si>
    <t xml:space="preserve">HIGH IMPACT · Page Scroller · 1920x1080</t>
  </si>
  <si>
    <t xml:space="preserve">HIGH IMPACT · Display Interscroller · 700x1600</t>
  </si>
  <si>
    <t xml:space="preserve">HIGH IMPACT · Video Interscroller · Vertical 9:16</t>
  </si>
  <si>
    <t xml:space="preserve">SOCIAL · Facebook Post · 600x600</t>
  </si>
  <si>
    <t xml:space="preserve">SOCIAL · Instagram Post · 600x600</t>
  </si>
  <si>
    <t xml:space="preserve">SOCIAL · Instagram and Facebook Video · 9:16</t>
  </si>
  <si>
    <t xml:space="preserve">SOCIAL · LinkedIn Display · 1200x627</t>
  </si>
  <si>
    <t xml:space="preserve">SOCIAL · LinkedIn Video · 1:1 (feed) / 9:16 (mobile)</t>
  </si>
  <si>
    <t xml:space="preserve">SOCIAL · TikTok Display · 1200x628</t>
  </si>
  <si>
    <t xml:space="preserve">SOCIAL · TikTok Video · Vertical 9:16</t>
  </si>
  <si>
    <t xml:space="preserve">NEWSLETTER · Medium Rectangle · 300x250</t>
  </si>
  <si>
    <t xml:space="preserve">NEWSLETTER · Long Banner · 970x550</t>
  </si>
  <si>
    <t xml:space="preserve">NEWSLETTER · Logo · 62px height, 200-400px width</t>
  </si>
  <si>
    <t xml:space="preserve">NEWSLETTER · Native · 600x314</t>
  </si>
  <si>
    <t xml:space="preserve">PODCAST · Podcast Audio Ads · up to 1-minute host-read</t>
  </si>
  <si>
    <t xml:space="preserve">APPLE NEWS · Standard · 300x250</t>
  </si>
  <si>
    <t xml:space="preserve">APPLE NEWS · Double · 1242x332 and 1536x264</t>
  </si>
  <si>
    <t xml:space="preserve">APPLE NEWS · Large · 1242x699 and 1536x864</t>
  </si>
  <si>
    <t xml:space="preserve">APPLE NEWS · MREC · 900x750</t>
  </si>
  <si>
    <t xml:space="preserve">APPLE NEWS · Interstitial · 1242x2208 and 1536x2048</t>
  </si>
  <si>
    <t xml:space="preserve">APPLE NEWS · PreRoll and OutStream · 1080x1920, 1080x1080 or 1920x1080</t>
  </si>
  <si>
    <t xml:space="preserve">APPLE NEWS · Sponsored Content · 1200x627</t>
  </si>
  <si>
    <t xml:space="preserve">INTERSTITIAL · Mobile · 900x1600</t>
  </si>
  <si>
    <t xml:space="preserve">INTERSTITIAL · Desktop · 1600x900</t>
  </si>
  <si>
    <t xml:space="preserve">Definitions, caveats &amp; change log</t>
  </si>
  <si>
    <t xml:space="preserve">Read this before quoting a number to a client.</t>
  </si>
  <si>
    <t xml:space="preserve">METRIC DEFINITIONS</t>
  </si>
  <si>
    <t xml:space="preserve">Clicks ÷ impressions. On social and newsletter this is platform- or ESP-reported and is not directly comparable to on-site CTR.</t>
  </si>
  <si>
    <t xml:space="preserve">Viewable impressions ÷ measurable impressions, per the MRC standard: 50% of pixels in view for 1 continuous second (2 seconds for video). Not the same as impressions delivered.</t>
  </si>
  <si>
    <t xml:space="preserve">Measurable rate</t>
  </si>
  <si>
    <t xml:space="preserve">Measurable ÷ total impressions. A low measurable rate makes the viewability number unreliable — check it before grading.</t>
  </si>
  <si>
    <t xml:space="preserve">Video completes ÷ video starts. Grade long-form pre-roll (&gt;:30) against its own line, not the standard video target.</t>
  </si>
  <si>
    <t xml:space="preserve">Engagement rate</t>
  </si>
  <si>
    <t xml:space="preserve">Vendor-defined interaction rate on high-impact units. It comes from the high-impact partner's report, not GAM — confirm the definition per vendor before promising it.</t>
  </si>
  <si>
    <t xml:space="preserve">SIVT / GIVT</t>
  </si>
  <si>
    <t xml:space="preserve">Invalid traffic per MRC. Impression-weighted: fraud-classified monitored ads ÷ all monitored ads. Industry bands: green &lt;1%, amber 1–3%, red ≥3%.</t>
  </si>
  <si>
    <t xml:space="preserve">Attention Index</t>
  </si>
  <si>
    <t xml:space="preserve">DoubleVerify Authentic Attention, indexed to a 100 baseline. Above 100 is better than the benchmark set.</t>
  </si>
  <si>
    <t xml:space="preserve">MEASUREMENT CAVEATS — these change what a number means</t>
  </si>
  <si>
    <t xml:space="preserve">Breakout / parent-DOM formats</t>
  </si>
  <si>
    <t xml:space="preserve">Any creative that renders outside the GPT slot iframe reads ~0% viewable in Active View, and DV agrees, because both instrument the hidden iframe. The tell is healthy CTR with more clicks than 'viewable' impressions. Never sell a vCPM goal on one of these units.</t>
  </si>
  <si>
    <t xml:space="preserve">Interscroller (Mobkoi)</t>
  </si>
  <si>
    <t xml:space="preserve">Fixed in production by the iframe-mirror creative: same LI went from 0.51% to 56.81% viewable, ~100% measurable. Grade viewability on these units only once the mirror is confirmed live.</t>
  </si>
  <si>
    <t xml:space="preserve">Apple News 100% viewability</t>
  </si>
  <si>
    <t xml:space="preserve">Apple's guaranteed-view delivery model, reported by Apple. It is not a GAM Active View measurement and should not be averaged with on-site viewability.</t>
  </si>
  <si>
    <t xml:space="preserve">Social placements</t>
  </si>
  <si>
    <t xml:space="preserve">Meta / LinkedIn / TikTok report their own impressions and clicks. No Active View, no DV. Treat these targets as a separate book.</t>
  </si>
  <si>
    <t xml:space="preserve">Email renders have no viewability measurement at all. CTR is ESP-reported and counts differently from ad-server CTR.</t>
  </si>
  <si>
    <t xml:space="preserve">DoubleVerify lag</t>
  </si>
  <si>
    <t xml:space="preserve">DV's export runs about two days behind. A line that started yesterday will show '—' for Attention and IVT — that's timing, not underperformance.</t>
  </si>
  <si>
    <t xml:space="preserve">New line items</t>
  </si>
  <si>
    <t xml:space="preserve">A line in its first day or two has no stable rate. The THIN verdict on the tracker exists so nobody escalates on 200 impressions.</t>
  </si>
  <si>
    <t xml:space="preserve">WHAT NEEDS A DECISION — carried from the specs master</t>
  </si>
  <si>
    <t xml:space="preserve">Video Interscroller viewability</t>
  </si>
  <si>
    <t xml:space="preserve">Source reads '0.70% viewability (30 seconds) / 0.40% (60 seconds)'. Entered here as 70% and 40%. Confirm — a 0.70% viewability target isn't plausible.</t>
  </si>
  <si>
    <t xml:space="preserve">Newsletter Medium Rectangle CTR</t>
  </si>
  <si>
    <t xml:space="preserve">Source reads 0.0006%, roughly 370x below the Long Banner target in the same newsletter. Almost certainly a decimal error.</t>
  </si>
  <si>
    <t xml:space="preserve">Apple News and Interstitial CTR</t>
  </si>
  <si>
    <t xml:space="preserve">Source reads '0.20 CTR' / '0.30 CTR' / '0.80 CTR' with no % sign. Entered as percentages.</t>
  </si>
  <si>
    <t xml:space="preserve">Missing targets</t>
  </si>
  <si>
    <t xml:space="preserve">FITO Desktop and Mobile Top Banner have no viewability target while every sibling FITO row carries 70%. Display Interscroller has none either. Fluid 250 has no CTR target.</t>
  </si>
  <si>
    <t xml:space="preserve">No benchmark at all</t>
  </si>
  <si>
    <t xml:space="preserve">Instagram/Facebook Video, TikTok Display, TikTok Video and Podcast Audio have no target set.</t>
  </si>
  <si>
    <t xml:space="preserve">Video units with no VCR</t>
  </si>
  <si>
    <t xml:space="preserve">Centerstage Video Takeover (desktop, mobile), FITO Video Desktop Top Banner, LinkedIn Video and Apple News PreRoll all carry a CTR and viewability target but no completion target.</t>
  </si>
  <si>
    <t xml:space="preserve">Internal inconsistencies</t>
  </si>
  <si>
    <t xml:space="preserve">Centerstage Ribbon and Mobile Sticky target 1% CTR while Large Banner units in the same family target 0.10%. Facebook targets 0.90% against Instagram's 0.10%. Both gaps are worth a sanity check.</t>
  </si>
  <si>
    <t xml:space="preserve">CELL LEGEND</t>
  </si>
  <si>
    <t xml:space="preserve">Amber fill, blue text</t>
  </si>
  <si>
    <t xml:space="preserve">An input. Type here.</t>
  </si>
  <si>
    <t xml:space="preserve">Grey fill</t>
  </si>
  <si>
    <t xml:space="preserve">A formula. Don't type over it.</t>
  </si>
  <si>
    <t xml:space="preserve">Light green fill</t>
  </si>
  <si>
    <t xml:space="preserve">Reference data from the specs master.</t>
  </si>
  <si>
    <t xml:space="preserve">Red text in 'Review flag'</t>
  </si>
  <si>
    <t xml:space="preserve">Needs a human decision before the number is quoted to a client.</t>
  </si>
  <si>
    <t xml:space="preserve">CHANGE LOG</t>
  </si>
  <si>
    <t xml:space="preserve">2026-09-02</t>
  </si>
  <si>
    <t xml:space="preserve">Created from Newsweek_Digital_Ads_Specs_Master.xlsx. Free-text Benchmarks column parsed into numeric CTR / viewability / VCR / engagement targets; measurement caveats and review flags added.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</si>
</sst>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##%"/>
    <numFmt numFmtId="166" formatCode="0.0%"/>
    <numFmt numFmtId="167" formatCode="yyyy\-mm\-dd"/>
    <numFmt numFmtId="168" formatCode="#,##0"/>
    <numFmt numFmtId="169" formatCode="\+0.00;\-0.00;0.00"/>
    <numFmt numFmtId="170" formatCode="0%"/>
    <numFmt numFmtId="171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E19"/>
      <name val="Arial"/>
      <family val="0"/>
      <charset val="1"/>
    </font>
    <font>
      <i val="true"/>
      <sz val="9"/>
      <color rgb="FF6964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F1E19"/>
      <name val="Arial"/>
      <family val="0"/>
      <charset val="1"/>
    </font>
    <font>
      <sz val="9"/>
      <color rgb="FF1F1E19"/>
      <name val="Arial"/>
      <family val="0"/>
      <charset val="1"/>
    </font>
    <font>
      <b val="true"/>
      <sz val="9"/>
      <color rgb="FFC41608"/>
      <name val="Arial"/>
      <family val="0"/>
      <charset val="1"/>
    </font>
    <font>
      <b val="true"/>
      <sz val="10"/>
      <color rgb="FF1F1E19"/>
      <name val="Arial"/>
      <family val="0"/>
      <charset val="1"/>
    </font>
    <font>
      <sz val="9"/>
      <color rgb="FF69645A"/>
      <name val="Arial"/>
      <family val="0"/>
      <charset val="1"/>
    </font>
    <font>
      <i val="true"/>
      <sz val="9"/>
      <color rgb="FF1F1E19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i val="true"/>
      <sz val="9"/>
      <color rgb="FF1F1E1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C4160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69645A"/>
        <bgColor rgb="FF808080"/>
      </patternFill>
    </fill>
    <fill>
      <patternFill patternType="solid">
        <fgColor rgb="FF158113"/>
        <bgColor rgb="FF339966"/>
      </patternFill>
    </fill>
    <fill>
      <patternFill patternType="solid">
        <fgColor rgb="FF054B4F"/>
        <bgColor rgb="FF003300"/>
      </patternFill>
    </fill>
    <fill>
      <patternFill patternType="solid">
        <fgColor rgb="FF0D838A"/>
        <bgColor rgb="FF008080"/>
      </patternFill>
    </fill>
    <fill>
      <patternFill patternType="solid">
        <fgColor rgb="FFA6A08E"/>
        <bgColor rgb="FF808080"/>
      </patternFill>
    </fill>
    <fill>
      <patternFill patternType="solid">
        <fgColor rgb="FFF2FBEE"/>
        <bgColor rgb="FFEFEFEF"/>
      </patternFill>
    </fill>
    <fill>
      <patternFill patternType="solid">
        <fgColor rgb="FFFFF7CC"/>
        <bgColor rgb="FFF2FBEE"/>
      </patternFill>
    </fill>
    <fill>
      <patternFill patternType="solid">
        <fgColor rgb="FFEFEFEF"/>
        <bgColor rgb="FFF2F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113"/>
      <rgbColor rgb="FF000080"/>
      <rgbColor rgb="FF808000"/>
      <rgbColor rgb="FF800080"/>
      <rgbColor rgb="FF0D838A"/>
      <rgbColor rgb="FFD6D2C4"/>
      <rgbColor rgb="FF808080"/>
      <rgbColor rgb="FF9999FF"/>
      <rgbColor rgb="FF993366"/>
      <rgbColor rgb="FFFFF7CC"/>
      <rgbColor rgb="FFF2FB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645A"/>
      <rgbColor rgb="FFA6A08E"/>
      <rgbColor rgb="FF054B4F"/>
      <rgbColor rgb="FF339966"/>
      <rgbColor rgb="FF003300"/>
      <rgbColor rgb="FF1F1E19"/>
      <rgbColor rgb="FFC4160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56"/>
    <col collapsed="false" customWidth="true" hidden="false" outlineLevel="0" max="15" min="15" style="0" width="12"/>
    <col collapsed="false" customWidth="true" hidden="false" outlineLevel="0" max="16" min="16" style="0" width="58"/>
    <col collapsed="false" customWidth="true" hidden="false" outlineLevel="0" max="17" min="17" style="0" width="34"/>
    <col collapsed="false" customWidth="true" hidden="false" outlineLevel="0" max="18" min="18" style="0" width="13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5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9.5" hidden="false" customHeight="true" outlineLevel="0" collapsed="false">
      <c r="B3" s="3" t="s">
        <v>2</v>
      </c>
      <c r="C3" s="3"/>
      <c r="D3" s="3"/>
      <c r="E3" s="3"/>
      <c r="F3" s="3"/>
      <c r="G3" s="3"/>
      <c r="H3" s="3"/>
      <c r="I3" s="4" t="s">
        <v>3</v>
      </c>
      <c r="J3" s="4"/>
      <c r="K3" s="4"/>
      <c r="L3" s="4"/>
      <c r="M3" s="5" t="s">
        <v>4</v>
      </c>
      <c r="N3" s="5"/>
      <c r="O3" s="6" t="s">
        <v>5</v>
      </c>
      <c r="P3" s="6"/>
      <c r="Q3" s="6"/>
      <c r="R3" s="6"/>
    </row>
    <row r="4" customFormat="false" ht="39.75" hidden="false" customHeight="true" outlineLevel="0" collapsed="false"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9" t="s">
        <v>17</v>
      </c>
      <c r="N4" s="9" t="s">
        <v>18</v>
      </c>
      <c r="O4" s="10" t="s">
        <v>19</v>
      </c>
      <c r="P4" s="10" t="s">
        <v>20</v>
      </c>
      <c r="Q4" s="10" t="s">
        <v>21</v>
      </c>
      <c r="R4" s="10" t="s">
        <v>22</v>
      </c>
    </row>
    <row r="5" customFormat="false" ht="19.5" hidden="false" customHeight="true" outlineLevel="0" collapsed="false">
      <c r="B5" s="11" t="s">
        <v>23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customFormat="false" ht="33.75" hidden="false" customHeight="true" outlineLevel="0" collapsed="false">
      <c r="B6" s="12" t="s">
        <v>24</v>
      </c>
      <c r="C6" s="13" t="s">
        <v>25</v>
      </c>
      <c r="D6" s="13" t="s">
        <v>26</v>
      </c>
      <c r="E6" s="13" t="s">
        <v>27</v>
      </c>
      <c r="F6" s="13" t="s">
        <v>23</v>
      </c>
      <c r="G6" s="13" t="s">
        <v>28</v>
      </c>
      <c r="H6" s="13" t="str">
        <f aca="false">IF($B6="","",$F6&amp;" · "&amp;$B6&amp;" · "&amp;$C6)</f>
        <v>STANDARD BANNERS · Medium Rectangle · 300x250</v>
      </c>
      <c r="I6" s="14" t="n">
        <v>0.001</v>
      </c>
      <c r="J6" s="15" t="n">
        <v>0.7</v>
      </c>
      <c r="K6" s="15"/>
      <c r="L6" s="15"/>
      <c r="M6" s="13" t="s">
        <v>29</v>
      </c>
      <c r="N6" s="16" t="s">
        <v>30</v>
      </c>
      <c r="O6" s="13" t="str">
        <f aca="false">IF(COUNT($I6:$L6)=0,"⚠ none",IF(COUNT($I6:$L6)=1,"partial","yes"))</f>
        <v>yes</v>
      </c>
      <c r="P6" s="16"/>
      <c r="Q6" s="13" t="s">
        <v>31</v>
      </c>
      <c r="R6" s="17" t="n">
        <v>46267</v>
      </c>
    </row>
    <row r="7" customFormat="false" ht="33.75" hidden="false" customHeight="true" outlineLevel="0" collapsed="false">
      <c r="B7" s="12" t="s">
        <v>32</v>
      </c>
      <c r="C7" s="13" t="s">
        <v>33</v>
      </c>
      <c r="D7" s="13" t="s">
        <v>26</v>
      </c>
      <c r="E7" s="13" t="s">
        <v>27</v>
      </c>
      <c r="F7" s="13" t="s">
        <v>23</v>
      </c>
      <c r="G7" s="13" t="s">
        <v>28</v>
      </c>
      <c r="H7" s="13" t="str">
        <f aca="false">IF($B7="","",$F7&amp;" · "&amp;$B7&amp;" · "&amp;$C7)</f>
        <v>STANDARD BANNERS · Half Page · 300x600</v>
      </c>
      <c r="I7" s="14" t="n">
        <v>0.001</v>
      </c>
      <c r="J7" s="15" t="n">
        <v>0.7</v>
      </c>
      <c r="K7" s="15"/>
      <c r="L7" s="15"/>
      <c r="M7" s="13" t="s">
        <v>29</v>
      </c>
      <c r="N7" s="16" t="s">
        <v>30</v>
      </c>
      <c r="O7" s="13" t="str">
        <f aca="false">IF(COUNT($I7:$L7)=0,"⚠ none",IF(COUNT($I7:$L7)=1,"partial","yes"))</f>
        <v>yes</v>
      </c>
      <c r="P7" s="16"/>
      <c r="Q7" s="13" t="s">
        <v>31</v>
      </c>
      <c r="R7" s="17" t="n">
        <v>46267</v>
      </c>
    </row>
    <row r="8" customFormat="false" ht="33.75" hidden="false" customHeight="true" outlineLevel="0" collapsed="false">
      <c r="B8" s="12" t="s">
        <v>34</v>
      </c>
      <c r="C8" s="13" t="s">
        <v>35</v>
      </c>
      <c r="D8" s="13" t="s">
        <v>26</v>
      </c>
      <c r="E8" s="13" t="s">
        <v>27</v>
      </c>
      <c r="F8" s="13" t="s">
        <v>23</v>
      </c>
      <c r="G8" s="13" t="s">
        <v>28</v>
      </c>
      <c r="H8" s="13" t="str">
        <f aca="false">IF($B8="","",$F8&amp;" · "&amp;$B8&amp;" · "&amp;$C8)</f>
        <v>STANDARD BANNERS · Leaderboard · 728x90</v>
      </c>
      <c r="I8" s="14" t="n">
        <v>0.001</v>
      </c>
      <c r="J8" s="15" t="n">
        <v>0.7</v>
      </c>
      <c r="K8" s="15"/>
      <c r="L8" s="15"/>
      <c r="M8" s="13" t="s">
        <v>29</v>
      </c>
      <c r="N8" s="16" t="s">
        <v>30</v>
      </c>
      <c r="O8" s="13" t="str">
        <f aca="false">IF(COUNT($I8:$L8)=0,"⚠ none",IF(COUNT($I8:$L8)=1,"partial","yes"))</f>
        <v>yes</v>
      </c>
      <c r="P8" s="16"/>
      <c r="Q8" s="13" t="s">
        <v>31</v>
      </c>
      <c r="R8" s="17" t="n">
        <v>46267</v>
      </c>
    </row>
    <row r="9" customFormat="false" ht="33.75" hidden="false" customHeight="true" outlineLevel="0" collapsed="false">
      <c r="B9" s="12" t="s">
        <v>36</v>
      </c>
      <c r="C9" s="13" t="s">
        <v>37</v>
      </c>
      <c r="D9" s="13" t="s">
        <v>26</v>
      </c>
      <c r="E9" s="13" t="s">
        <v>27</v>
      </c>
      <c r="F9" s="13" t="s">
        <v>23</v>
      </c>
      <c r="G9" s="13" t="s">
        <v>28</v>
      </c>
      <c r="H9" s="13" t="str">
        <f aca="false">IF($B9="","",$F9&amp;" · "&amp;$B9&amp;" · "&amp;$C9)</f>
        <v>STANDARD BANNERS · Billboard ad · 970x250</v>
      </c>
      <c r="I9" s="14" t="n">
        <v>0.001</v>
      </c>
      <c r="J9" s="15" t="n">
        <v>0.7</v>
      </c>
      <c r="K9" s="15"/>
      <c r="L9" s="15"/>
      <c r="M9" s="13" t="s">
        <v>29</v>
      </c>
      <c r="N9" s="16" t="s">
        <v>30</v>
      </c>
      <c r="O9" s="13" t="str">
        <f aca="false">IF(COUNT($I9:$L9)=0,"⚠ none",IF(COUNT($I9:$L9)=1,"partial","yes"))</f>
        <v>yes</v>
      </c>
      <c r="P9" s="16"/>
      <c r="Q9" s="13" t="s">
        <v>31</v>
      </c>
      <c r="R9" s="17" t="n">
        <v>46267</v>
      </c>
    </row>
    <row r="10" customFormat="false" ht="33.75" hidden="false" customHeight="true" outlineLevel="0" collapsed="false">
      <c r="B10" s="12" t="s">
        <v>38</v>
      </c>
      <c r="C10" s="13" t="s">
        <v>39</v>
      </c>
      <c r="D10" s="13" t="s">
        <v>26</v>
      </c>
      <c r="E10" s="13" t="s">
        <v>27</v>
      </c>
      <c r="F10" s="13" t="s">
        <v>23</v>
      </c>
      <c r="G10" s="13" t="s">
        <v>28</v>
      </c>
      <c r="H10" s="13" t="str">
        <f aca="false">IF($B10="","",$F10&amp;" · "&amp;$B10&amp;" · "&amp;$C10)</f>
        <v>STANDARD BANNERS · Smartphone Banner · 300x50 / 320x50</v>
      </c>
      <c r="I10" s="14" t="n">
        <v>0.001</v>
      </c>
      <c r="J10" s="15" t="n">
        <v>0.7</v>
      </c>
      <c r="K10" s="15"/>
      <c r="L10" s="15"/>
      <c r="M10" s="13" t="s">
        <v>29</v>
      </c>
      <c r="N10" s="16" t="s">
        <v>30</v>
      </c>
      <c r="O10" s="13" t="str">
        <f aca="false">IF(COUNT($I10:$L10)=0,"⚠ none",IF(COUNT($I10:$L10)=1,"partial","yes"))</f>
        <v>yes</v>
      </c>
      <c r="P10" s="16"/>
      <c r="Q10" s="13" t="s">
        <v>31</v>
      </c>
      <c r="R10" s="17" t="n">
        <v>46267</v>
      </c>
    </row>
    <row r="11" customFormat="false" ht="33.75" hidden="false" customHeight="true" outlineLevel="0" collapsed="false">
      <c r="B11" s="12" t="s">
        <v>40</v>
      </c>
      <c r="C11" s="13" t="s">
        <v>41</v>
      </c>
      <c r="D11" s="13" t="s">
        <v>26</v>
      </c>
      <c r="E11" s="13" t="s">
        <v>42</v>
      </c>
      <c r="F11" s="13" t="s">
        <v>23</v>
      </c>
      <c r="G11" s="13" t="s">
        <v>28</v>
      </c>
      <c r="H11" s="13" t="str">
        <f aca="false">IF($B11="","",$F11&amp;" · "&amp;$B11&amp;" · "&amp;$C11)</f>
        <v>STANDARD BANNERS · Insights Premium Spotlight · 1200x675 / Logo</v>
      </c>
      <c r="I11" s="14" t="n">
        <v>0.005</v>
      </c>
      <c r="J11" s="15"/>
      <c r="K11" s="15"/>
      <c r="L11" s="15"/>
      <c r="M11" s="13" t="s">
        <v>29</v>
      </c>
      <c r="N11" s="16" t="s">
        <v>43</v>
      </c>
      <c r="O11" s="13" t="str">
        <f aca="false">IF(COUNT($I11:$L11)=0,"⚠ none",IF(COUNT($I11:$L11)=1,"partial","yes"))</f>
        <v>partial</v>
      </c>
      <c r="P11" s="18" t="s">
        <v>44</v>
      </c>
      <c r="Q11" s="13" t="s">
        <v>45</v>
      </c>
      <c r="R11" s="17" t="n">
        <v>46267</v>
      </c>
    </row>
    <row r="12" customFormat="false" ht="19.5" hidden="false" customHeight="true" outlineLevel="0" collapsed="false">
      <c r="B12" s="11" t="s">
        <v>46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customFormat="false" ht="33.75" hidden="false" customHeight="true" outlineLevel="0" collapsed="false">
      <c r="B13" s="12" t="s">
        <v>47</v>
      </c>
      <c r="C13" s="13" t="s">
        <v>48</v>
      </c>
      <c r="D13" s="13" t="s">
        <v>26</v>
      </c>
      <c r="E13" s="13" t="s">
        <v>27</v>
      </c>
      <c r="F13" s="13" t="s">
        <v>46</v>
      </c>
      <c r="G13" s="13" t="s">
        <v>49</v>
      </c>
      <c r="H13" s="13" t="str">
        <f aca="false">IF($B13="","",$F13&amp;" · "&amp;$B13&amp;" · "&amp;$C13)</f>
        <v>VIDEO PRE-ROLL · Pre Roll · 16:9</v>
      </c>
      <c r="I13" s="14" t="n">
        <v>0.006</v>
      </c>
      <c r="J13" s="15" t="n">
        <v>0.7</v>
      </c>
      <c r="K13" s="15" t="n">
        <v>0.7</v>
      </c>
      <c r="L13" s="15"/>
      <c r="M13" s="13" t="s">
        <v>29</v>
      </c>
      <c r="N13" s="16" t="s">
        <v>50</v>
      </c>
      <c r="O13" s="13" t="str">
        <f aca="false">IF(COUNT($I13:$L13)=0,"⚠ none",IF(COUNT($I13:$L13)=1,"partial","yes"))</f>
        <v>yes</v>
      </c>
      <c r="P13" s="18" t="s">
        <v>51</v>
      </c>
      <c r="Q13" s="13" t="s">
        <v>52</v>
      </c>
      <c r="R13" s="17" t="n">
        <v>46267</v>
      </c>
    </row>
    <row r="14" customFormat="false" ht="19.5" hidden="false" customHeight="true" outlineLevel="0" collapsed="false">
      <c r="B14" s="11" t="s">
        <v>53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customFormat="false" ht="33.75" hidden="false" customHeight="true" outlineLevel="0" collapsed="false">
      <c r="B15" s="12" t="s">
        <v>54</v>
      </c>
      <c r="C15" s="13" t="s">
        <v>55</v>
      </c>
      <c r="D15" s="13" t="s">
        <v>26</v>
      </c>
      <c r="E15" s="13" t="s">
        <v>42</v>
      </c>
      <c r="F15" s="13" t="s">
        <v>53</v>
      </c>
      <c r="G15" s="13" t="s">
        <v>56</v>
      </c>
      <c r="H15" s="13" t="str">
        <f aca="false">IF($B15="","",$F15&amp;" · "&amp;$B15&amp;" · "&amp;$C15)</f>
        <v>CENTERSTAGE · Desktop Ribbon · 3840x350</v>
      </c>
      <c r="I15" s="14" t="n">
        <v>0.01</v>
      </c>
      <c r="J15" s="15" t="n">
        <v>0.7</v>
      </c>
      <c r="K15" s="15"/>
      <c r="L15" s="15"/>
      <c r="M15" s="13" t="s">
        <v>29</v>
      </c>
      <c r="N15" s="16" t="s">
        <v>57</v>
      </c>
      <c r="O15" s="13" t="str">
        <f aca="false">IF(COUNT($I15:$L15)=0,"⚠ none",IF(COUNT($I15:$L15)=1,"partial","yes"))</f>
        <v>yes</v>
      </c>
      <c r="P15" s="16"/>
      <c r="Q15" s="13" t="s">
        <v>58</v>
      </c>
      <c r="R15" s="17" t="n">
        <v>46267</v>
      </c>
    </row>
    <row r="16" customFormat="false" ht="33.75" hidden="false" customHeight="true" outlineLevel="0" collapsed="false">
      <c r="B16" s="12" t="s">
        <v>59</v>
      </c>
      <c r="C16" s="13" t="s">
        <v>60</v>
      </c>
      <c r="D16" s="13" t="s">
        <v>26</v>
      </c>
      <c r="E16" s="13" t="s">
        <v>42</v>
      </c>
      <c r="F16" s="13" t="s">
        <v>53</v>
      </c>
      <c r="G16" s="13" t="s">
        <v>56</v>
      </c>
      <c r="H16" s="13" t="str">
        <f aca="false">IF($B16="","",$F16&amp;" · "&amp;$B16&amp;" · "&amp;$C16)</f>
        <v>CENTERSTAGE · Desktop Large Banner · 3200x700</v>
      </c>
      <c r="I16" s="14" t="n">
        <v>0.001</v>
      </c>
      <c r="J16" s="15" t="n">
        <v>0.7</v>
      </c>
      <c r="K16" s="15"/>
      <c r="L16" s="15"/>
      <c r="M16" s="13" t="s">
        <v>29</v>
      </c>
      <c r="N16" s="16" t="s">
        <v>61</v>
      </c>
      <c r="O16" s="13" t="str">
        <f aca="false">IF(COUNT($I16:$L16)=0,"⚠ none",IF(COUNT($I16:$L16)=1,"partial","yes"))</f>
        <v>yes</v>
      </c>
      <c r="P16" s="18" t="s">
        <v>62</v>
      </c>
      <c r="Q16" s="13" t="s">
        <v>31</v>
      </c>
      <c r="R16" s="17" t="n">
        <v>46267</v>
      </c>
    </row>
    <row r="17" customFormat="false" ht="33.75" hidden="false" customHeight="true" outlineLevel="0" collapsed="false">
      <c r="B17" s="12" t="s">
        <v>63</v>
      </c>
      <c r="C17" s="13" t="s">
        <v>64</v>
      </c>
      <c r="D17" s="13" t="s">
        <v>26</v>
      </c>
      <c r="E17" s="13" t="s">
        <v>42</v>
      </c>
      <c r="F17" s="13" t="s">
        <v>53</v>
      </c>
      <c r="G17" s="13" t="s">
        <v>56</v>
      </c>
      <c r="H17" s="13" t="str">
        <f aca="false">IF($B17="","",$F17&amp;" · "&amp;$B17&amp;" · "&amp;$C17)</f>
        <v>CENTERSTAGE · Mobile Sticky · 900x350</v>
      </c>
      <c r="I17" s="14" t="n">
        <v>0.01</v>
      </c>
      <c r="J17" s="15" t="n">
        <v>0.7</v>
      </c>
      <c r="K17" s="15"/>
      <c r="L17" s="15"/>
      <c r="M17" s="13" t="s">
        <v>29</v>
      </c>
      <c r="N17" s="16" t="s">
        <v>61</v>
      </c>
      <c r="O17" s="13" t="str">
        <f aca="false">IF(COUNT($I17:$L17)=0,"⚠ none",IF(COUNT($I17:$L17)=1,"partial","yes"))</f>
        <v>yes</v>
      </c>
      <c r="P17" s="16"/>
      <c r="Q17" s="13" t="s">
        <v>58</v>
      </c>
      <c r="R17" s="17" t="n">
        <v>46267</v>
      </c>
    </row>
    <row r="18" customFormat="false" ht="33.75" hidden="false" customHeight="true" outlineLevel="0" collapsed="false">
      <c r="B18" s="12" t="s">
        <v>65</v>
      </c>
      <c r="C18" s="13" t="s">
        <v>66</v>
      </c>
      <c r="D18" s="13" t="s">
        <v>26</v>
      </c>
      <c r="E18" s="13" t="s">
        <v>42</v>
      </c>
      <c r="F18" s="13" t="s">
        <v>53</v>
      </c>
      <c r="G18" s="13" t="s">
        <v>56</v>
      </c>
      <c r="H18" s="13" t="str">
        <f aca="false">IF($B18="","",$F18&amp;" · "&amp;$B18&amp;" · "&amp;$C18)</f>
        <v>CENTERSTAGE · Mobile Large Banner · 1200x900</v>
      </c>
      <c r="I18" s="14" t="n">
        <v>0.001</v>
      </c>
      <c r="J18" s="15" t="n">
        <v>0.7</v>
      </c>
      <c r="K18" s="15"/>
      <c r="L18" s="15"/>
      <c r="M18" s="13" t="s">
        <v>29</v>
      </c>
      <c r="N18" s="16" t="s">
        <v>61</v>
      </c>
      <c r="O18" s="13" t="str">
        <f aca="false">IF(COUNT($I18:$L18)=0,"⚠ none",IF(COUNT($I18:$L18)=1,"partial","yes"))</f>
        <v>yes</v>
      </c>
      <c r="P18" s="18" t="s">
        <v>62</v>
      </c>
      <c r="Q18" s="13" t="s">
        <v>31</v>
      </c>
      <c r="R18" s="17" t="n">
        <v>46267</v>
      </c>
    </row>
    <row r="19" customFormat="false" ht="33.75" hidden="false" customHeight="true" outlineLevel="0" collapsed="false">
      <c r="B19" s="12" t="s">
        <v>67</v>
      </c>
      <c r="C19" s="13" t="s">
        <v>48</v>
      </c>
      <c r="D19" s="13" t="s">
        <v>26</v>
      </c>
      <c r="E19" s="13" t="s">
        <v>42</v>
      </c>
      <c r="F19" s="13" t="s">
        <v>53</v>
      </c>
      <c r="G19" s="13" t="s">
        <v>56</v>
      </c>
      <c r="H19" s="13" t="str">
        <f aca="false">IF($B19="","",$F19&amp;" · "&amp;$B19&amp;" · "&amp;$C19)</f>
        <v>CENTERSTAGE · Video Takeover Desktop · 16:9</v>
      </c>
      <c r="I19" s="14" t="n">
        <v>0.001</v>
      </c>
      <c r="J19" s="15" t="n">
        <v>0.7</v>
      </c>
      <c r="K19" s="15"/>
      <c r="L19" s="15"/>
      <c r="M19" s="13" t="s">
        <v>29</v>
      </c>
      <c r="N19" s="16" t="s">
        <v>68</v>
      </c>
      <c r="O19" s="13" t="str">
        <f aca="false">IF(COUNT($I19:$L19)=0,"⚠ none",IF(COUNT($I19:$L19)=1,"partial","yes"))</f>
        <v>yes</v>
      </c>
      <c r="P19" s="18" t="s">
        <v>69</v>
      </c>
      <c r="Q19" s="13" t="s">
        <v>31</v>
      </c>
      <c r="R19" s="17" t="n">
        <v>46267</v>
      </c>
    </row>
    <row r="20" customFormat="false" ht="33.75" hidden="false" customHeight="true" outlineLevel="0" collapsed="false">
      <c r="B20" s="12" t="s">
        <v>70</v>
      </c>
      <c r="C20" s="13" t="s">
        <v>71</v>
      </c>
      <c r="D20" s="13" t="s">
        <v>26</v>
      </c>
      <c r="E20" s="13" t="s">
        <v>42</v>
      </c>
      <c r="F20" s="13" t="s">
        <v>53</v>
      </c>
      <c r="G20" s="13" t="s">
        <v>56</v>
      </c>
      <c r="H20" s="13" t="str">
        <f aca="false">IF($B20="","",$F20&amp;" · "&amp;$B20&amp;" · "&amp;$C20)</f>
        <v>CENTERSTAGE · Video Takeover Mobile · 9:16</v>
      </c>
      <c r="I20" s="14" t="n">
        <v>0.001</v>
      </c>
      <c r="J20" s="15" t="n">
        <v>0.7</v>
      </c>
      <c r="K20" s="15"/>
      <c r="L20" s="15"/>
      <c r="M20" s="13" t="s">
        <v>29</v>
      </c>
      <c r="N20" s="16" t="s">
        <v>68</v>
      </c>
      <c r="O20" s="13" t="str">
        <f aca="false">IF(COUNT($I20:$L20)=0,"⚠ none",IF(COUNT($I20:$L20)=1,"partial","yes"))</f>
        <v>yes</v>
      </c>
      <c r="P20" s="18" t="s">
        <v>69</v>
      </c>
      <c r="Q20" s="13" t="s">
        <v>31</v>
      </c>
      <c r="R20" s="17" t="n">
        <v>46267</v>
      </c>
    </row>
    <row r="21" customFormat="false" ht="19.5" hidden="false" customHeight="true" outlineLevel="0" collapsed="false">
      <c r="B21" s="11" t="s">
        <v>72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customFormat="false" ht="33.75" hidden="false" customHeight="true" outlineLevel="0" collapsed="false">
      <c r="B22" s="12" t="s">
        <v>73</v>
      </c>
      <c r="C22" s="13" t="s">
        <v>37</v>
      </c>
      <c r="D22" s="13" t="s">
        <v>26</v>
      </c>
      <c r="E22" s="13" t="s">
        <v>27</v>
      </c>
      <c r="F22" s="13" t="s">
        <v>74</v>
      </c>
      <c r="G22" s="13" t="s">
        <v>75</v>
      </c>
      <c r="H22" s="13" t="str">
        <f aca="false">IF($B22="","",$F22&amp;" · "&amp;$B22&amp;" · "&amp;$C22)</f>
        <v>FITO DISPLAY · Desktop Top Banner · 970x250</v>
      </c>
      <c r="I22" s="14" t="n">
        <v>0.005</v>
      </c>
      <c r="J22" s="15"/>
      <c r="K22" s="15"/>
      <c r="L22" s="15"/>
      <c r="M22" s="13" t="s">
        <v>76</v>
      </c>
      <c r="N22" s="16" t="s">
        <v>77</v>
      </c>
      <c r="O22" s="13" t="str">
        <f aca="false">IF(COUNT($I22:$L22)=0,"⚠ none",IF(COUNT($I22:$L22)=1,"partial","yes"))</f>
        <v>partial</v>
      </c>
      <c r="P22" s="18" t="s">
        <v>78</v>
      </c>
      <c r="Q22" s="13" t="s">
        <v>79</v>
      </c>
      <c r="R22" s="17" t="n">
        <v>46267</v>
      </c>
    </row>
    <row r="23" customFormat="false" ht="33.75" hidden="false" customHeight="true" outlineLevel="0" collapsed="false">
      <c r="B23" s="12" t="s">
        <v>63</v>
      </c>
      <c r="C23" s="13" t="s">
        <v>80</v>
      </c>
      <c r="D23" s="13" t="s">
        <v>26</v>
      </c>
      <c r="E23" s="13" t="s">
        <v>27</v>
      </c>
      <c r="F23" s="13" t="s">
        <v>74</v>
      </c>
      <c r="G23" s="13" t="s">
        <v>75</v>
      </c>
      <c r="H23" s="13" t="str">
        <f aca="false">IF($B23="","",$F23&amp;" · "&amp;$B23&amp;" · "&amp;$C23)</f>
        <v>FITO DISPLAY · Mobile Sticky · 1300x350 or 320x50</v>
      </c>
      <c r="I23" s="14" t="n">
        <v>0.001</v>
      </c>
      <c r="J23" s="15" t="n">
        <v>0.7</v>
      </c>
      <c r="K23" s="15"/>
      <c r="L23" s="15"/>
      <c r="M23" s="13" t="s">
        <v>29</v>
      </c>
      <c r="N23" s="16" t="s">
        <v>81</v>
      </c>
      <c r="O23" s="13" t="str">
        <f aca="false">IF(COUNT($I23:$L23)=0,"⚠ none",IF(COUNT($I23:$L23)=1,"partial","yes"))</f>
        <v>yes</v>
      </c>
      <c r="P23" s="16"/>
      <c r="Q23" s="13" t="s">
        <v>31</v>
      </c>
      <c r="R23" s="17" t="n">
        <v>46267</v>
      </c>
    </row>
    <row r="24" customFormat="false" ht="33.75" hidden="false" customHeight="true" outlineLevel="0" collapsed="false">
      <c r="B24" s="12" t="s">
        <v>82</v>
      </c>
      <c r="C24" s="13" t="s">
        <v>83</v>
      </c>
      <c r="D24" s="13" t="s">
        <v>26</v>
      </c>
      <c r="E24" s="13" t="s">
        <v>27</v>
      </c>
      <c r="F24" s="13" t="s">
        <v>74</v>
      </c>
      <c r="G24" s="13" t="s">
        <v>28</v>
      </c>
      <c r="H24" s="13" t="str">
        <f aca="false">IF($B24="","",$F24&amp;" · "&amp;$B24&amp;" · "&amp;$C24)</f>
        <v>FITO DISPLAY · Fluid 250 (in-article, optional) · 2560x250</v>
      </c>
      <c r="I24" s="14"/>
      <c r="J24" s="15" t="n">
        <v>0.7</v>
      </c>
      <c r="K24" s="15"/>
      <c r="L24" s="15"/>
      <c r="M24" s="13" t="s">
        <v>29</v>
      </c>
      <c r="N24" s="16" t="s">
        <v>84</v>
      </c>
      <c r="O24" s="13" t="str">
        <f aca="false">IF(COUNT($I24:$L24)=0,"⚠ none",IF(COUNT($I24:$L24)=1,"partial","yes"))</f>
        <v>partial</v>
      </c>
      <c r="P24" s="18" t="s">
        <v>85</v>
      </c>
      <c r="Q24" s="13" t="s">
        <v>86</v>
      </c>
      <c r="R24" s="17" t="n">
        <v>46267</v>
      </c>
    </row>
    <row r="25" customFormat="false" ht="33.75" hidden="false" customHeight="true" outlineLevel="0" collapsed="false">
      <c r="B25" s="12" t="s">
        <v>87</v>
      </c>
      <c r="C25" s="13" t="s">
        <v>88</v>
      </c>
      <c r="D25" s="13" t="s">
        <v>26</v>
      </c>
      <c r="E25" s="13" t="s">
        <v>27</v>
      </c>
      <c r="F25" s="13" t="s">
        <v>74</v>
      </c>
      <c r="G25" s="13" t="s">
        <v>28</v>
      </c>
      <c r="H25" s="13" t="str">
        <f aca="false">IF($B25="","",$F25&amp;" · "&amp;$B25&amp;" · "&amp;$C25)</f>
        <v>FITO DISPLAY · In-Article (Desktop) · 3200x500, 1600x250 or 970x250</v>
      </c>
      <c r="I25" s="14" t="n">
        <v>0.001</v>
      </c>
      <c r="J25" s="15" t="n">
        <v>0.7</v>
      </c>
      <c r="K25" s="15"/>
      <c r="L25" s="15"/>
      <c r="M25" s="13" t="s">
        <v>29</v>
      </c>
      <c r="N25" s="16" t="s">
        <v>89</v>
      </c>
      <c r="O25" s="13" t="str">
        <f aca="false">IF(COUNT($I25:$L25)=0,"⚠ none",IF(COUNT($I25:$L25)=1,"partial","yes"))</f>
        <v>yes</v>
      </c>
      <c r="P25" s="16"/>
      <c r="Q25" s="13" t="s">
        <v>31</v>
      </c>
      <c r="R25" s="17" t="n">
        <v>46267</v>
      </c>
    </row>
    <row r="26" customFormat="false" ht="33.75" hidden="false" customHeight="true" outlineLevel="0" collapsed="false">
      <c r="B26" s="12" t="s">
        <v>90</v>
      </c>
      <c r="C26" s="13" t="s">
        <v>91</v>
      </c>
      <c r="D26" s="13" t="s">
        <v>26</v>
      </c>
      <c r="E26" s="13" t="s">
        <v>27</v>
      </c>
      <c r="F26" s="13" t="s">
        <v>74</v>
      </c>
      <c r="G26" s="13" t="s">
        <v>75</v>
      </c>
      <c r="H26" s="13" t="str">
        <f aca="false">IF($B26="","",$F26&amp;" · "&amp;$B26&amp;" · "&amp;$C26)</f>
        <v>FITO DISPLAY · Mobile Top Banner · 1200x900 or 300x250</v>
      </c>
      <c r="I26" s="14" t="n">
        <v>0.005</v>
      </c>
      <c r="J26" s="15"/>
      <c r="K26" s="15"/>
      <c r="L26" s="15"/>
      <c r="M26" s="13" t="s">
        <v>76</v>
      </c>
      <c r="N26" s="16" t="s">
        <v>77</v>
      </c>
      <c r="O26" s="13" t="str">
        <f aca="false">IF(COUNT($I26:$L26)=0,"⚠ none",IF(COUNT($I26:$L26)=1,"partial","yes"))</f>
        <v>partial</v>
      </c>
      <c r="P26" s="18" t="s">
        <v>78</v>
      </c>
      <c r="Q26" s="13" t="s">
        <v>79</v>
      </c>
      <c r="R26" s="17" t="n">
        <v>46267</v>
      </c>
    </row>
    <row r="27" customFormat="false" ht="33.75" hidden="false" customHeight="true" outlineLevel="0" collapsed="false">
      <c r="B27" s="12" t="s">
        <v>24</v>
      </c>
      <c r="C27" s="13" t="s">
        <v>25</v>
      </c>
      <c r="D27" s="13" t="s">
        <v>26</v>
      </c>
      <c r="E27" s="13" t="s">
        <v>27</v>
      </c>
      <c r="F27" s="13" t="s">
        <v>74</v>
      </c>
      <c r="G27" s="13" t="s">
        <v>28</v>
      </c>
      <c r="H27" s="13" t="str">
        <f aca="false">IF($B27="","",$F27&amp;" · "&amp;$B27&amp;" · "&amp;$C27)</f>
        <v>FITO DISPLAY · Medium Rectangle · 300x250</v>
      </c>
      <c r="I27" s="14" t="n">
        <v>0.001</v>
      </c>
      <c r="J27" s="15" t="n">
        <v>0.7</v>
      </c>
      <c r="K27" s="15"/>
      <c r="L27" s="15"/>
      <c r="M27" s="13" t="s">
        <v>29</v>
      </c>
      <c r="N27" s="16" t="s">
        <v>92</v>
      </c>
      <c r="O27" s="13" t="str">
        <f aca="false">IF(COUNT($I27:$L27)=0,"⚠ none",IF(COUNT($I27:$L27)=1,"partial","yes"))</f>
        <v>yes</v>
      </c>
      <c r="P27" s="16"/>
      <c r="Q27" s="13" t="s">
        <v>31</v>
      </c>
      <c r="R27" s="17" t="n">
        <v>46267</v>
      </c>
    </row>
    <row r="28" customFormat="false" ht="33.75" hidden="false" customHeight="true" outlineLevel="0" collapsed="false">
      <c r="B28" s="12" t="s">
        <v>34</v>
      </c>
      <c r="C28" s="13" t="s">
        <v>35</v>
      </c>
      <c r="D28" s="13" t="s">
        <v>26</v>
      </c>
      <c r="E28" s="13" t="s">
        <v>27</v>
      </c>
      <c r="F28" s="13" t="s">
        <v>74</v>
      </c>
      <c r="G28" s="13" t="s">
        <v>28</v>
      </c>
      <c r="H28" s="13" t="str">
        <f aca="false">IF($B28="","",$F28&amp;" · "&amp;$B28&amp;" · "&amp;$C28)</f>
        <v>FITO DISPLAY · Leaderboard · 728x90</v>
      </c>
      <c r="I28" s="14" t="n">
        <v>0.001</v>
      </c>
      <c r="J28" s="15" t="n">
        <v>0.7</v>
      </c>
      <c r="K28" s="15"/>
      <c r="L28" s="15"/>
      <c r="M28" s="13" t="s">
        <v>29</v>
      </c>
      <c r="N28" s="16" t="s">
        <v>92</v>
      </c>
      <c r="O28" s="13" t="str">
        <f aca="false">IF(COUNT($I28:$L28)=0,"⚠ none",IF(COUNT($I28:$L28)=1,"partial","yes"))</f>
        <v>yes</v>
      </c>
      <c r="P28" s="16"/>
      <c r="Q28" s="13" t="s">
        <v>31</v>
      </c>
      <c r="R28" s="17" t="n">
        <v>46267</v>
      </c>
    </row>
    <row r="29" customFormat="false" ht="19.5" hidden="false" customHeight="true" outlineLevel="0" collapsed="false">
      <c r="B29" s="11" t="s">
        <v>93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customFormat="false" ht="33.75" hidden="false" customHeight="true" outlineLevel="0" collapsed="false">
      <c r="B30" s="12" t="s">
        <v>73</v>
      </c>
      <c r="C30" s="13" t="s">
        <v>94</v>
      </c>
      <c r="D30" s="13" t="s">
        <v>26</v>
      </c>
      <c r="E30" s="13" t="s">
        <v>27</v>
      </c>
      <c r="F30" s="13" t="s">
        <v>95</v>
      </c>
      <c r="G30" s="13" t="s">
        <v>75</v>
      </c>
      <c r="H30" s="13" t="str">
        <f aca="false">IF($B30="","",$F30&amp;" · "&amp;$B30&amp;" · "&amp;$C30)</f>
        <v>FITO VIDEO · Desktop Top Banner · 2310x500, 3200x500 or 970x250</v>
      </c>
      <c r="I30" s="14" t="n">
        <v>0.006</v>
      </c>
      <c r="J30" s="15" t="n">
        <v>0.7</v>
      </c>
      <c r="K30" s="15"/>
      <c r="L30" s="15"/>
      <c r="M30" s="13" t="s">
        <v>76</v>
      </c>
      <c r="N30" s="16" t="s">
        <v>96</v>
      </c>
      <c r="O30" s="13" t="str">
        <f aca="false">IF(COUNT($I30:$L30)=0,"⚠ none",IF(COUNT($I30:$L30)=1,"partial","yes"))</f>
        <v>yes</v>
      </c>
      <c r="P30" s="18" t="s">
        <v>97</v>
      </c>
      <c r="Q30" s="13" t="s">
        <v>98</v>
      </c>
      <c r="R30" s="17" t="n">
        <v>46267</v>
      </c>
    </row>
    <row r="31" customFormat="false" ht="33.75" hidden="false" customHeight="true" outlineLevel="0" collapsed="false">
      <c r="B31" s="12" t="s">
        <v>99</v>
      </c>
      <c r="C31" s="13" t="s">
        <v>80</v>
      </c>
      <c r="D31" s="13" t="s">
        <v>26</v>
      </c>
      <c r="E31" s="13" t="s">
        <v>27</v>
      </c>
      <c r="F31" s="13" t="s">
        <v>95</v>
      </c>
      <c r="G31" s="13" t="s">
        <v>75</v>
      </c>
      <c r="H31" s="13" t="str">
        <f aca="false">IF($B31="","",$F31&amp;" · "&amp;$B31&amp;" · "&amp;$C31)</f>
        <v>FITO VIDEO · Mobile Leaderboard (Sticky) · 1300x350 or 320x50</v>
      </c>
      <c r="I31" s="14" t="n">
        <v>0.006</v>
      </c>
      <c r="J31" s="15" t="n">
        <v>0.7</v>
      </c>
      <c r="K31" s="15"/>
      <c r="L31" s="15"/>
      <c r="M31" s="13" t="s">
        <v>29</v>
      </c>
      <c r="N31" s="16" t="s">
        <v>81</v>
      </c>
      <c r="O31" s="13" t="str">
        <f aca="false">IF(COUNT($I31:$L31)=0,"⚠ none",IF(COUNT($I31:$L31)=1,"partial","yes"))</f>
        <v>yes</v>
      </c>
      <c r="P31" s="16"/>
      <c r="Q31" s="13" t="s">
        <v>98</v>
      </c>
      <c r="R31" s="17" t="n">
        <v>46267</v>
      </c>
    </row>
    <row r="32" customFormat="false" ht="33.75" hidden="false" customHeight="true" outlineLevel="0" collapsed="false">
      <c r="B32" s="12" t="s">
        <v>90</v>
      </c>
      <c r="C32" s="13" t="s">
        <v>91</v>
      </c>
      <c r="D32" s="13" t="s">
        <v>26</v>
      </c>
      <c r="E32" s="13" t="s">
        <v>27</v>
      </c>
      <c r="F32" s="13" t="s">
        <v>95</v>
      </c>
      <c r="G32" s="13" t="s">
        <v>75</v>
      </c>
      <c r="H32" s="13" t="str">
        <f aca="false">IF($B32="","",$F32&amp;" · "&amp;$B32&amp;" · "&amp;$C32)</f>
        <v>FITO VIDEO · Mobile Top Banner · 1200x900 or 300x250</v>
      </c>
      <c r="I32" s="14" t="n">
        <v>0.001</v>
      </c>
      <c r="J32" s="15" t="n">
        <v>0.7</v>
      </c>
      <c r="K32" s="15"/>
      <c r="L32" s="15"/>
      <c r="M32" s="13" t="s">
        <v>76</v>
      </c>
      <c r="N32" s="16" t="s">
        <v>100</v>
      </c>
      <c r="O32" s="13" t="str">
        <f aca="false">IF(COUNT($I32:$L32)=0,"⚠ none",IF(COUNT($I32:$L32)=1,"partial","yes"))</f>
        <v>yes</v>
      </c>
      <c r="P32" s="18" t="s">
        <v>101</v>
      </c>
      <c r="Q32" s="13" t="s">
        <v>31</v>
      </c>
      <c r="R32" s="17" t="n">
        <v>46267</v>
      </c>
    </row>
    <row r="33" customFormat="false" ht="33.75" hidden="false" customHeight="true" outlineLevel="0" collapsed="false">
      <c r="B33" s="12" t="s">
        <v>82</v>
      </c>
      <c r="C33" s="13" t="s">
        <v>83</v>
      </c>
      <c r="D33" s="13" t="s">
        <v>26</v>
      </c>
      <c r="E33" s="13" t="s">
        <v>27</v>
      </c>
      <c r="F33" s="13" t="s">
        <v>95</v>
      </c>
      <c r="G33" s="13" t="s">
        <v>28</v>
      </c>
      <c r="H33" s="13" t="str">
        <f aca="false">IF($B33="","",$F33&amp;" · "&amp;$B33&amp;" · "&amp;$C33)</f>
        <v>FITO VIDEO · Fluid 250 (in-article, optional) · 2560x250</v>
      </c>
      <c r="I33" s="14"/>
      <c r="J33" s="15" t="n">
        <v>0.7</v>
      </c>
      <c r="K33" s="15"/>
      <c r="L33" s="15"/>
      <c r="M33" s="13" t="s">
        <v>29</v>
      </c>
      <c r="N33" s="16" t="s">
        <v>84</v>
      </c>
      <c r="O33" s="13" t="str">
        <f aca="false">IF(COUNT($I33:$L33)=0,"⚠ none",IF(COUNT($I33:$L33)=1,"partial","yes"))</f>
        <v>partial</v>
      </c>
      <c r="P33" s="18" t="s">
        <v>85</v>
      </c>
      <c r="Q33" s="13" t="s">
        <v>86</v>
      </c>
      <c r="R33" s="17" t="n">
        <v>46267</v>
      </c>
    </row>
    <row r="34" customFormat="false" ht="33.75" hidden="false" customHeight="true" outlineLevel="0" collapsed="false">
      <c r="B34" s="12" t="s">
        <v>87</v>
      </c>
      <c r="C34" s="13" t="s">
        <v>88</v>
      </c>
      <c r="D34" s="13" t="s">
        <v>26</v>
      </c>
      <c r="E34" s="13" t="s">
        <v>27</v>
      </c>
      <c r="F34" s="13" t="s">
        <v>95</v>
      </c>
      <c r="G34" s="13" t="s">
        <v>28</v>
      </c>
      <c r="H34" s="13" t="str">
        <f aca="false">IF($B34="","",$F34&amp;" · "&amp;$B34&amp;" · "&amp;$C34)</f>
        <v>FITO VIDEO · In-Article (Desktop) · 3200x500, 1600x250 or 970x250</v>
      </c>
      <c r="I34" s="14" t="n">
        <v>0.001</v>
      </c>
      <c r="J34" s="15" t="n">
        <v>0.7</v>
      </c>
      <c r="K34" s="15"/>
      <c r="L34" s="15"/>
      <c r="M34" s="13" t="s">
        <v>29</v>
      </c>
      <c r="N34" s="16" t="s">
        <v>89</v>
      </c>
      <c r="O34" s="13" t="str">
        <f aca="false">IF(COUNT($I34:$L34)=0,"⚠ none",IF(COUNT($I34:$L34)=1,"partial","yes"))</f>
        <v>yes</v>
      </c>
      <c r="P34" s="16"/>
      <c r="Q34" s="13" t="s">
        <v>31</v>
      </c>
      <c r="R34" s="17" t="n">
        <v>46267</v>
      </c>
    </row>
    <row r="35" customFormat="false" ht="33.75" hidden="false" customHeight="true" outlineLevel="0" collapsed="false">
      <c r="B35" s="12" t="s">
        <v>102</v>
      </c>
      <c r="C35" s="13" t="s">
        <v>25</v>
      </c>
      <c r="D35" s="13" t="s">
        <v>26</v>
      </c>
      <c r="E35" s="13" t="s">
        <v>27</v>
      </c>
      <c r="F35" s="13" t="s">
        <v>95</v>
      </c>
      <c r="G35" s="13" t="s">
        <v>28</v>
      </c>
      <c r="H35" s="13" t="str">
        <f aca="false">IF($B35="","",$F35&amp;" · "&amp;$B35&amp;" · "&amp;$C35)</f>
        <v>FITO VIDEO · Medium Rectangle (mobile) · 300x250</v>
      </c>
      <c r="I35" s="14" t="n">
        <v>0.001</v>
      </c>
      <c r="J35" s="15" t="n">
        <v>0.7</v>
      </c>
      <c r="K35" s="15"/>
      <c r="L35" s="15"/>
      <c r="M35" s="13" t="s">
        <v>29</v>
      </c>
      <c r="N35" s="16" t="s">
        <v>92</v>
      </c>
      <c r="O35" s="13" t="str">
        <f aca="false">IF(COUNT($I35:$L35)=0,"⚠ none",IF(COUNT($I35:$L35)=1,"partial","yes"))</f>
        <v>yes</v>
      </c>
      <c r="P35" s="16"/>
      <c r="Q35" s="13" t="s">
        <v>31</v>
      </c>
      <c r="R35" s="17" t="n">
        <v>46267</v>
      </c>
    </row>
    <row r="36" customFormat="false" ht="33.75" hidden="false" customHeight="true" outlineLevel="0" collapsed="false">
      <c r="B36" s="12" t="s">
        <v>103</v>
      </c>
      <c r="C36" s="13" t="s">
        <v>35</v>
      </c>
      <c r="D36" s="13" t="s">
        <v>26</v>
      </c>
      <c r="E36" s="13" t="s">
        <v>27</v>
      </c>
      <c r="F36" s="13" t="s">
        <v>95</v>
      </c>
      <c r="G36" s="13" t="s">
        <v>28</v>
      </c>
      <c r="H36" s="13" t="str">
        <f aca="false">IF($B36="","",$F36&amp;" · "&amp;$B36&amp;" · "&amp;$C36)</f>
        <v>FITO VIDEO · Desktop Leaderboard (Sticky) · 728x90</v>
      </c>
      <c r="I36" s="14" t="n">
        <v>0.001</v>
      </c>
      <c r="J36" s="15" t="n">
        <v>0.7</v>
      </c>
      <c r="K36" s="15"/>
      <c r="L36" s="15"/>
      <c r="M36" s="13" t="s">
        <v>29</v>
      </c>
      <c r="N36" s="16" t="s">
        <v>92</v>
      </c>
      <c r="O36" s="13" t="str">
        <f aca="false">IF(COUNT($I36:$L36)=0,"⚠ none",IF(COUNT($I36:$L36)=1,"partial","yes"))</f>
        <v>yes</v>
      </c>
      <c r="P36" s="16"/>
      <c r="Q36" s="13" t="s">
        <v>31</v>
      </c>
      <c r="R36" s="17" t="n">
        <v>46267</v>
      </c>
    </row>
    <row r="37" customFormat="false" ht="33.75" hidden="false" customHeight="true" outlineLevel="0" collapsed="false">
      <c r="B37" s="12" t="s">
        <v>104</v>
      </c>
      <c r="C37" s="13" t="s">
        <v>105</v>
      </c>
      <c r="D37" s="13" t="s">
        <v>26</v>
      </c>
      <c r="E37" s="13" t="s">
        <v>42</v>
      </c>
      <c r="F37" s="13" t="s">
        <v>95</v>
      </c>
      <c r="G37" s="13" t="s">
        <v>56</v>
      </c>
      <c r="H37" s="13" t="str">
        <f aca="false">IF($B37="","",$F37&amp;" · "&amp;$B37&amp;" · "&amp;$C37)</f>
        <v>FITO VIDEO · Video Takeover · Horizontal 16:9</v>
      </c>
      <c r="I37" s="14" t="n">
        <v>0.001</v>
      </c>
      <c r="J37" s="15" t="n">
        <v>0.7</v>
      </c>
      <c r="K37" s="15"/>
      <c r="L37" s="15"/>
      <c r="M37" s="13" t="s">
        <v>29</v>
      </c>
      <c r="N37" s="16" t="s">
        <v>68</v>
      </c>
      <c r="O37" s="13" t="str">
        <f aca="false">IF(COUNT($I37:$L37)=0,"⚠ none",IF(COUNT($I37:$L37)=1,"partial","yes"))</f>
        <v>yes</v>
      </c>
      <c r="P37" s="18" t="s">
        <v>69</v>
      </c>
      <c r="Q37" s="13" t="s">
        <v>31</v>
      </c>
      <c r="R37" s="17" t="n">
        <v>46267</v>
      </c>
    </row>
    <row r="38" customFormat="false" ht="19.5" hidden="false" customHeight="true" outlineLevel="0" collapsed="false">
      <c r="B38" s="11" t="s">
        <v>106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customFormat="false" ht="33.75" hidden="false" customHeight="true" outlineLevel="0" collapsed="false">
      <c r="B39" s="12" t="s">
        <v>107</v>
      </c>
      <c r="C39" s="13" t="s">
        <v>108</v>
      </c>
      <c r="D39" s="13" t="s">
        <v>26</v>
      </c>
      <c r="E39" s="13" t="s">
        <v>27</v>
      </c>
      <c r="F39" s="13" t="s">
        <v>106</v>
      </c>
      <c r="G39" s="13" t="s">
        <v>28</v>
      </c>
      <c r="H39" s="13" t="str">
        <f aca="false">IF($B39="","",$F39&amp;" · "&amp;$B39&amp;" · "&amp;$C39)</f>
        <v>HIGH IMPACT · Fluid 250 · 2560x600</v>
      </c>
      <c r="I39" s="14" t="n">
        <v>0.0015</v>
      </c>
      <c r="J39" s="15" t="n">
        <v>0.7</v>
      </c>
      <c r="K39" s="15" t="n">
        <v>0.4</v>
      </c>
      <c r="L39" s="15" t="n">
        <v>0.65</v>
      </c>
      <c r="M39" s="13" t="s">
        <v>29</v>
      </c>
      <c r="N39" s="16" t="s">
        <v>109</v>
      </c>
      <c r="O39" s="13" t="str">
        <f aca="false">IF(COUNT($I39:$L39)=0,"⚠ none",IF(COUNT($I39:$L39)=1,"partial","yes"))</f>
        <v>yes</v>
      </c>
      <c r="P39" s="16"/>
      <c r="Q39" s="13" t="s">
        <v>110</v>
      </c>
      <c r="R39" s="17" t="n">
        <v>46267</v>
      </c>
    </row>
    <row r="40" customFormat="false" ht="33.75" hidden="false" customHeight="true" outlineLevel="0" collapsed="false">
      <c r="B40" s="12" t="s">
        <v>111</v>
      </c>
      <c r="C40" s="13" t="s">
        <v>108</v>
      </c>
      <c r="D40" s="13" t="s">
        <v>26</v>
      </c>
      <c r="E40" s="13" t="s">
        <v>27</v>
      </c>
      <c r="F40" s="13" t="s">
        <v>106</v>
      </c>
      <c r="G40" s="13" t="s">
        <v>28</v>
      </c>
      <c r="H40" s="13" t="str">
        <f aca="false">IF($B40="","",$F40&amp;" · "&amp;$B40&amp;" · "&amp;$C40)</f>
        <v>HIGH IMPACT · Fluid 400 · 2560x600</v>
      </c>
      <c r="I40" s="14" t="n">
        <v>0.002</v>
      </c>
      <c r="J40" s="15" t="n">
        <v>0.5</v>
      </c>
      <c r="K40" s="15" t="n">
        <v>0.45</v>
      </c>
      <c r="L40" s="15" t="n">
        <v>0.6</v>
      </c>
      <c r="M40" s="13" t="s">
        <v>29</v>
      </c>
      <c r="N40" s="16" t="s">
        <v>112</v>
      </c>
      <c r="O40" s="13" t="str">
        <f aca="false">IF(COUNT($I40:$L40)=0,"⚠ none",IF(COUNT($I40:$L40)=1,"partial","yes"))</f>
        <v>yes</v>
      </c>
      <c r="P40" s="16"/>
      <c r="Q40" s="13" t="s">
        <v>113</v>
      </c>
      <c r="R40" s="17" t="n">
        <v>46267</v>
      </c>
    </row>
    <row r="41" customFormat="false" ht="33.75" hidden="false" customHeight="true" outlineLevel="0" collapsed="false">
      <c r="B41" s="12" t="s">
        <v>114</v>
      </c>
      <c r="C41" s="13" t="s">
        <v>108</v>
      </c>
      <c r="D41" s="13" t="s">
        <v>26</v>
      </c>
      <c r="E41" s="13" t="s">
        <v>27</v>
      </c>
      <c r="F41" s="13" t="s">
        <v>106</v>
      </c>
      <c r="G41" s="13" t="s">
        <v>28</v>
      </c>
      <c r="H41" s="13" t="str">
        <f aca="false">IF($B41="","",$F41&amp;" · "&amp;$B41&amp;" · "&amp;$C41)</f>
        <v>HIGH IMPACT · Fluid 600 · 2560x600</v>
      </c>
      <c r="I41" s="14" t="n">
        <v>0.0025</v>
      </c>
      <c r="J41" s="15" t="n">
        <v>0.5</v>
      </c>
      <c r="K41" s="15" t="n">
        <v>0.45</v>
      </c>
      <c r="L41" s="15" t="n">
        <v>0.6</v>
      </c>
      <c r="M41" s="13" t="s">
        <v>29</v>
      </c>
      <c r="N41" s="16" t="s">
        <v>112</v>
      </c>
      <c r="O41" s="13" t="str">
        <f aca="false">IF(COUNT($I41:$L41)=0,"⚠ none",IF(COUNT($I41:$L41)=1,"partial","yes"))</f>
        <v>yes</v>
      </c>
      <c r="P41" s="16"/>
      <c r="Q41" s="13" t="s">
        <v>115</v>
      </c>
      <c r="R41" s="17" t="n">
        <v>46267</v>
      </c>
    </row>
    <row r="42" customFormat="false" ht="33.75" hidden="false" customHeight="true" outlineLevel="0" collapsed="false">
      <c r="B42" s="12" t="s">
        <v>116</v>
      </c>
      <c r="C42" s="13" t="s">
        <v>117</v>
      </c>
      <c r="D42" s="13" t="s">
        <v>26</v>
      </c>
      <c r="E42" s="13" t="s">
        <v>27</v>
      </c>
      <c r="F42" s="13" t="s">
        <v>106</v>
      </c>
      <c r="G42" s="13" t="s">
        <v>28</v>
      </c>
      <c r="H42" s="13" t="str">
        <f aca="false">IF($B42="","",$F42&amp;" · "&amp;$B42&amp;" · "&amp;$C42)</f>
        <v>HIGH IMPACT · Responsive · 2560x853</v>
      </c>
      <c r="I42" s="14" t="n">
        <v>0.0015</v>
      </c>
      <c r="J42" s="15" t="n">
        <v>0.65</v>
      </c>
      <c r="K42" s="15" t="n">
        <v>0.55</v>
      </c>
      <c r="L42" s="15" t="n">
        <v>0.35</v>
      </c>
      <c r="M42" s="13" t="s">
        <v>29</v>
      </c>
      <c r="N42" s="16" t="s">
        <v>112</v>
      </c>
      <c r="O42" s="13" t="str">
        <f aca="false">IF(COUNT($I42:$L42)=0,"⚠ none",IF(COUNT($I42:$L42)=1,"partial","yes"))</f>
        <v>yes</v>
      </c>
      <c r="P42" s="16"/>
      <c r="Q42" s="13" t="s">
        <v>118</v>
      </c>
      <c r="R42" s="17" t="n">
        <v>46267</v>
      </c>
    </row>
    <row r="43" customFormat="false" ht="33.75" hidden="false" customHeight="true" outlineLevel="0" collapsed="false">
      <c r="B43" s="12" t="s">
        <v>119</v>
      </c>
      <c r="C43" s="13" t="s">
        <v>120</v>
      </c>
      <c r="D43" s="13" t="s">
        <v>26</v>
      </c>
      <c r="E43" s="13" t="s">
        <v>27</v>
      </c>
      <c r="F43" s="13" t="s">
        <v>106</v>
      </c>
      <c r="G43" s="13" t="s">
        <v>121</v>
      </c>
      <c r="H43" s="13" t="str">
        <f aca="false">IF($B43="","",$F43&amp;" · "&amp;$B43&amp;" · "&amp;$C43)</f>
        <v>HIGH IMPACT · Page Scroller · 1920x1080</v>
      </c>
      <c r="I43" s="14" t="n">
        <v>0.0035</v>
      </c>
      <c r="J43" s="15" t="n">
        <v>0.4</v>
      </c>
      <c r="K43" s="15" t="n">
        <v>0.65</v>
      </c>
      <c r="L43" s="15" t="n">
        <v>0.7</v>
      </c>
      <c r="M43" s="13" t="s">
        <v>76</v>
      </c>
      <c r="N43" s="16" t="s">
        <v>122</v>
      </c>
      <c r="O43" s="13" t="str">
        <f aca="false">IF(COUNT($I43:$L43)=0,"⚠ none",IF(COUNT($I43:$L43)=1,"partial","yes"))</f>
        <v>yes</v>
      </c>
      <c r="P43" s="16"/>
      <c r="Q43" s="13" t="s">
        <v>123</v>
      </c>
      <c r="R43" s="17" t="n">
        <v>46267</v>
      </c>
    </row>
    <row r="44" customFormat="false" ht="33.75" hidden="false" customHeight="true" outlineLevel="0" collapsed="false">
      <c r="B44" s="12" t="s">
        <v>124</v>
      </c>
      <c r="C44" s="13" t="s">
        <v>125</v>
      </c>
      <c r="D44" s="13" t="s">
        <v>26</v>
      </c>
      <c r="E44" s="13" t="s">
        <v>126</v>
      </c>
      <c r="F44" s="13" t="s">
        <v>106</v>
      </c>
      <c r="G44" s="13" t="s">
        <v>121</v>
      </c>
      <c r="H44" s="13" t="str">
        <f aca="false">IF($B44="","",$F44&amp;" · "&amp;$B44&amp;" · "&amp;$C44)</f>
        <v>HIGH IMPACT · Display Interscroller · 700x1600</v>
      </c>
      <c r="I44" s="14" t="n">
        <v>0.004</v>
      </c>
      <c r="J44" s="15"/>
      <c r="K44" s="15"/>
      <c r="L44" s="15"/>
      <c r="M44" s="13" t="s">
        <v>127</v>
      </c>
      <c r="N44" s="16" t="s">
        <v>128</v>
      </c>
      <c r="O44" s="13" t="str">
        <f aca="false">IF(COUNT($I44:$L44)=0,"⚠ none",IF(COUNT($I44:$L44)=1,"partial","yes"))</f>
        <v>partial</v>
      </c>
      <c r="P44" s="18" t="s">
        <v>129</v>
      </c>
      <c r="Q44" s="13" t="s">
        <v>130</v>
      </c>
      <c r="R44" s="17" t="n">
        <v>46267</v>
      </c>
    </row>
    <row r="45" customFormat="false" ht="33.75" hidden="false" customHeight="true" outlineLevel="0" collapsed="false">
      <c r="B45" s="12" t="s">
        <v>131</v>
      </c>
      <c r="C45" s="13" t="s">
        <v>132</v>
      </c>
      <c r="D45" s="13" t="s">
        <v>26</v>
      </c>
      <c r="E45" s="13" t="s">
        <v>126</v>
      </c>
      <c r="F45" s="13" t="s">
        <v>106</v>
      </c>
      <c r="G45" s="13" t="s">
        <v>121</v>
      </c>
      <c r="H45" s="13" t="str">
        <f aca="false">IF($B45="","",$F45&amp;" · "&amp;$B45&amp;" · "&amp;$C45)</f>
        <v>HIGH IMPACT · Video Interscroller · Vertical 9:16</v>
      </c>
      <c r="I45" s="14" t="n">
        <v>0.01</v>
      </c>
      <c r="J45" s="15" t="n">
        <v>0.7</v>
      </c>
      <c r="K45" s="15"/>
      <c r="L45" s="15"/>
      <c r="M45" s="13" t="s">
        <v>127</v>
      </c>
      <c r="N45" s="16" t="s">
        <v>133</v>
      </c>
      <c r="O45" s="13" t="str">
        <f aca="false">IF(COUNT($I45:$L45)=0,"⚠ none",IF(COUNT($I45:$L45)=1,"partial","yes"))</f>
        <v>yes</v>
      </c>
      <c r="P45" s="18" t="s">
        <v>134</v>
      </c>
      <c r="Q45" s="13" t="s">
        <v>135</v>
      </c>
      <c r="R45" s="17" t="n">
        <v>46267</v>
      </c>
    </row>
    <row r="46" customFormat="false" ht="19.5" hidden="false" customHeight="true" outlineLevel="0" collapsed="false">
      <c r="B46" s="11" t="s">
        <v>136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customFormat="false" ht="33.75" hidden="false" customHeight="true" outlineLevel="0" collapsed="false">
      <c r="B47" s="12" t="s">
        <v>137</v>
      </c>
      <c r="C47" s="13" t="s">
        <v>138</v>
      </c>
      <c r="D47" s="13" t="s">
        <v>139</v>
      </c>
      <c r="E47" s="13" t="s">
        <v>140</v>
      </c>
      <c r="F47" s="13" t="s">
        <v>136</v>
      </c>
      <c r="G47" s="13" t="s">
        <v>141</v>
      </c>
      <c r="H47" s="13" t="str">
        <f aca="false">IF($B47="","",$F47&amp;" · "&amp;$B47&amp;" · "&amp;$C47)</f>
        <v>SOCIAL · Facebook Post · 600x600</v>
      </c>
      <c r="I47" s="14" t="n">
        <v>0.009</v>
      </c>
      <c r="J47" s="15"/>
      <c r="K47" s="15"/>
      <c r="L47" s="15"/>
      <c r="M47" s="13" t="s">
        <v>142</v>
      </c>
      <c r="N47" s="16" t="s">
        <v>143</v>
      </c>
      <c r="O47" s="13" t="str">
        <f aca="false">IF(COUNT($I47:$L47)=0,"⚠ none",IF(COUNT($I47:$L47)=1,"partial","yes"))</f>
        <v>partial</v>
      </c>
      <c r="P47" s="18" t="s">
        <v>144</v>
      </c>
      <c r="Q47" s="13" t="s">
        <v>145</v>
      </c>
      <c r="R47" s="17" t="n">
        <v>46267</v>
      </c>
    </row>
    <row r="48" customFormat="false" ht="33.75" hidden="false" customHeight="true" outlineLevel="0" collapsed="false">
      <c r="B48" s="12" t="s">
        <v>146</v>
      </c>
      <c r="C48" s="13" t="s">
        <v>138</v>
      </c>
      <c r="D48" s="13" t="s">
        <v>147</v>
      </c>
      <c r="E48" s="13" t="s">
        <v>148</v>
      </c>
      <c r="F48" s="13" t="s">
        <v>136</v>
      </c>
      <c r="G48" s="13" t="s">
        <v>141</v>
      </c>
      <c r="H48" s="13" t="str">
        <f aca="false">IF($B48="","",$F48&amp;" · "&amp;$B48&amp;" · "&amp;$C48)</f>
        <v>SOCIAL · Instagram Post · 600x600</v>
      </c>
      <c r="I48" s="14" t="n">
        <v>0.001</v>
      </c>
      <c r="J48" s="15"/>
      <c r="K48" s="15"/>
      <c r="L48" s="15"/>
      <c r="M48" s="13" t="s">
        <v>142</v>
      </c>
      <c r="N48" s="16" t="s">
        <v>149</v>
      </c>
      <c r="O48" s="13" t="str">
        <f aca="false">IF(COUNT($I48:$L48)=0,"⚠ none",IF(COUNT($I48:$L48)=1,"partial","yes"))</f>
        <v>partial</v>
      </c>
      <c r="P48" s="16"/>
      <c r="Q48" s="13" t="s">
        <v>150</v>
      </c>
      <c r="R48" s="17" t="n">
        <v>46267</v>
      </c>
    </row>
    <row r="49" customFormat="false" ht="33.75" hidden="false" customHeight="true" outlineLevel="0" collapsed="false">
      <c r="B49" s="12" t="s">
        <v>151</v>
      </c>
      <c r="C49" s="13" t="s">
        <v>71</v>
      </c>
      <c r="D49" s="13" t="s">
        <v>152</v>
      </c>
      <c r="E49" s="13" t="s">
        <v>153</v>
      </c>
      <c r="F49" s="13" t="s">
        <v>136</v>
      </c>
      <c r="G49" s="13" t="s">
        <v>141</v>
      </c>
      <c r="H49" s="13" t="str">
        <f aca="false">IF($B49="","",$F49&amp;" · "&amp;$B49&amp;" · "&amp;$C49)</f>
        <v>SOCIAL · Instagram and Facebook Video · 9:16</v>
      </c>
      <c r="I49" s="14"/>
      <c r="J49" s="15"/>
      <c r="K49" s="15"/>
      <c r="L49" s="15"/>
      <c r="M49" s="13" t="s">
        <v>142</v>
      </c>
      <c r="N49" s="16" t="s">
        <v>149</v>
      </c>
      <c r="O49" s="13" t="str">
        <f aca="false">IF(COUNT($I49:$L49)=0,"⚠ none",IF(COUNT($I49:$L49)=1,"partial","yes"))</f>
        <v>⚠ none</v>
      </c>
      <c r="P49" s="18" t="s">
        <v>154</v>
      </c>
      <c r="Q49" s="13"/>
      <c r="R49" s="17" t="n">
        <v>46267</v>
      </c>
    </row>
    <row r="50" customFormat="false" ht="33.75" hidden="false" customHeight="true" outlineLevel="0" collapsed="false">
      <c r="B50" s="12" t="s">
        <v>155</v>
      </c>
      <c r="C50" s="13" t="s">
        <v>156</v>
      </c>
      <c r="D50" s="13" t="s">
        <v>157</v>
      </c>
      <c r="E50" s="13" t="s">
        <v>158</v>
      </c>
      <c r="F50" s="13" t="s">
        <v>136</v>
      </c>
      <c r="G50" s="13" t="s">
        <v>141</v>
      </c>
      <c r="H50" s="13" t="str">
        <f aca="false">IF($B50="","",$F50&amp;" · "&amp;$B50&amp;" · "&amp;$C50)</f>
        <v>SOCIAL · LinkedIn Display · 1200x627</v>
      </c>
      <c r="I50" s="14" t="n">
        <v>0.008</v>
      </c>
      <c r="J50" s="15"/>
      <c r="K50" s="15"/>
      <c r="L50" s="15"/>
      <c r="M50" s="13" t="s">
        <v>142</v>
      </c>
      <c r="N50" s="16" t="s">
        <v>159</v>
      </c>
      <c r="O50" s="13" t="str">
        <f aca="false">IF(COUNT($I50:$L50)=0,"⚠ none",IF(COUNT($I50:$L50)=1,"partial","yes"))</f>
        <v>partial</v>
      </c>
      <c r="P50" s="16"/>
      <c r="Q50" s="13" t="s">
        <v>160</v>
      </c>
      <c r="R50" s="17" t="n">
        <v>46267</v>
      </c>
    </row>
    <row r="51" customFormat="false" ht="33.75" hidden="false" customHeight="true" outlineLevel="0" collapsed="false">
      <c r="B51" s="12" t="s">
        <v>161</v>
      </c>
      <c r="C51" s="13" t="s">
        <v>162</v>
      </c>
      <c r="D51" s="13" t="s">
        <v>157</v>
      </c>
      <c r="E51" s="13" t="s">
        <v>158</v>
      </c>
      <c r="F51" s="13" t="s">
        <v>136</v>
      </c>
      <c r="G51" s="13" t="s">
        <v>141</v>
      </c>
      <c r="H51" s="13" t="str">
        <f aca="false">IF($B51="","",$F51&amp;" · "&amp;$B51&amp;" · "&amp;$C51)</f>
        <v>SOCIAL · LinkedIn Video · 1:1 (feed) / 9:16 (mobile)</v>
      </c>
      <c r="I51" s="14" t="n">
        <v>0.01</v>
      </c>
      <c r="J51" s="15"/>
      <c r="K51" s="15"/>
      <c r="L51" s="15"/>
      <c r="M51" s="13" t="s">
        <v>142</v>
      </c>
      <c r="N51" s="16" t="s">
        <v>159</v>
      </c>
      <c r="O51" s="13" t="str">
        <f aca="false">IF(COUNT($I51:$L51)=0,"⚠ none",IF(COUNT($I51:$L51)=1,"partial","yes"))</f>
        <v>partial</v>
      </c>
      <c r="P51" s="18" t="s">
        <v>163</v>
      </c>
      <c r="Q51" s="13" t="s">
        <v>164</v>
      </c>
      <c r="R51" s="17" t="n">
        <v>46267</v>
      </c>
    </row>
    <row r="52" customFormat="false" ht="33.75" hidden="false" customHeight="true" outlineLevel="0" collapsed="false">
      <c r="B52" s="12" t="s">
        <v>165</v>
      </c>
      <c r="C52" s="13" t="s">
        <v>166</v>
      </c>
      <c r="D52" s="13" t="s">
        <v>167</v>
      </c>
      <c r="E52" s="13" t="s">
        <v>158</v>
      </c>
      <c r="F52" s="13" t="s">
        <v>136</v>
      </c>
      <c r="G52" s="13" t="s">
        <v>141</v>
      </c>
      <c r="H52" s="13" t="str">
        <f aca="false">IF($B52="","",$F52&amp;" · "&amp;$B52&amp;" · "&amp;$C52)</f>
        <v>SOCIAL · TikTok Display · 1200x628</v>
      </c>
      <c r="I52" s="14"/>
      <c r="J52" s="15"/>
      <c r="K52" s="15"/>
      <c r="L52" s="15"/>
      <c r="M52" s="13" t="s">
        <v>142</v>
      </c>
      <c r="N52" s="16" t="s">
        <v>168</v>
      </c>
      <c r="O52" s="13" t="str">
        <f aca="false">IF(COUNT($I52:$L52)=0,"⚠ none",IF(COUNT($I52:$L52)=1,"partial","yes"))</f>
        <v>⚠ none</v>
      </c>
      <c r="P52" s="18" t="s">
        <v>169</v>
      </c>
      <c r="Q52" s="13"/>
      <c r="R52" s="17" t="n">
        <v>46267</v>
      </c>
    </row>
    <row r="53" customFormat="false" ht="33.75" hidden="false" customHeight="true" outlineLevel="0" collapsed="false">
      <c r="B53" s="12" t="s">
        <v>170</v>
      </c>
      <c r="C53" s="13" t="s">
        <v>132</v>
      </c>
      <c r="D53" s="13" t="s">
        <v>167</v>
      </c>
      <c r="E53" s="13" t="s">
        <v>158</v>
      </c>
      <c r="F53" s="13" t="s">
        <v>136</v>
      </c>
      <c r="G53" s="13" t="s">
        <v>141</v>
      </c>
      <c r="H53" s="13" t="str">
        <f aca="false">IF($B53="","",$F53&amp;" · "&amp;$B53&amp;" · "&amp;$C53)</f>
        <v>SOCIAL · TikTok Video · Vertical 9:16</v>
      </c>
      <c r="I53" s="14"/>
      <c r="J53" s="15"/>
      <c r="K53" s="15"/>
      <c r="L53" s="15"/>
      <c r="M53" s="13" t="s">
        <v>142</v>
      </c>
      <c r="N53" s="16" t="s">
        <v>168</v>
      </c>
      <c r="O53" s="13" t="str">
        <f aca="false">IF(COUNT($I53:$L53)=0,"⚠ none",IF(COUNT($I53:$L53)=1,"partial","yes"))</f>
        <v>⚠ none</v>
      </c>
      <c r="P53" s="18" t="s">
        <v>154</v>
      </c>
      <c r="Q53" s="13"/>
      <c r="R53" s="17" t="n">
        <v>46267</v>
      </c>
    </row>
    <row r="54" customFormat="false" ht="19.5" hidden="false" customHeight="true" outlineLevel="0" collapsed="false">
      <c r="B54" s="11" t="s">
        <v>171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customFormat="false" ht="33.75" hidden="false" customHeight="true" outlineLevel="0" collapsed="false">
      <c r="B55" s="12" t="s">
        <v>24</v>
      </c>
      <c r="C55" s="13" t="s">
        <v>25</v>
      </c>
      <c r="D55" s="13" t="s">
        <v>26</v>
      </c>
      <c r="E55" s="13" t="s">
        <v>172</v>
      </c>
      <c r="F55" s="13" t="s">
        <v>171</v>
      </c>
      <c r="G55" s="13" t="s">
        <v>173</v>
      </c>
      <c r="H55" s="13" t="str">
        <f aca="false">IF($B55="","",$F55&amp;" · "&amp;$B55&amp;" · "&amp;$C55)</f>
        <v>NEWSLETTER · Medium Rectangle · 300x250</v>
      </c>
      <c r="I55" s="14" t="n">
        <v>6E-006</v>
      </c>
      <c r="J55" s="15"/>
      <c r="K55" s="15"/>
      <c r="L55" s="15"/>
      <c r="M55" s="13" t="s">
        <v>174</v>
      </c>
      <c r="N55" s="16" t="s">
        <v>175</v>
      </c>
      <c r="O55" s="13" t="str">
        <f aca="false">IF(COUNT($I55:$L55)=0,"⚠ none",IF(COUNT($I55:$L55)=1,"partial","yes"))</f>
        <v>partial</v>
      </c>
      <c r="P55" s="18" t="s">
        <v>176</v>
      </c>
      <c r="Q55" s="13" t="s">
        <v>177</v>
      </c>
      <c r="R55" s="17" t="n">
        <v>46267</v>
      </c>
    </row>
    <row r="56" customFormat="false" ht="33.75" hidden="false" customHeight="true" outlineLevel="0" collapsed="false">
      <c r="B56" s="12" t="s">
        <v>178</v>
      </c>
      <c r="C56" s="13" t="s">
        <v>179</v>
      </c>
      <c r="D56" s="13" t="s">
        <v>26</v>
      </c>
      <c r="E56" s="13" t="s">
        <v>172</v>
      </c>
      <c r="F56" s="13" t="s">
        <v>171</v>
      </c>
      <c r="G56" s="13" t="s">
        <v>173</v>
      </c>
      <c r="H56" s="13" t="str">
        <f aca="false">IF($B56="","",$F56&amp;" · "&amp;$B56&amp;" · "&amp;$C56)</f>
        <v>NEWSLETTER · Long Banner · 970x550</v>
      </c>
      <c r="I56" s="14" t="n">
        <v>0.0022</v>
      </c>
      <c r="J56" s="15"/>
      <c r="K56" s="15"/>
      <c r="L56" s="15"/>
      <c r="M56" s="13" t="s">
        <v>174</v>
      </c>
      <c r="N56" s="16" t="s">
        <v>180</v>
      </c>
      <c r="O56" s="13" t="str">
        <f aca="false">IF(COUNT($I56:$L56)=0,"⚠ none",IF(COUNT($I56:$L56)=1,"partial","yes"))</f>
        <v>partial</v>
      </c>
      <c r="P56" s="16"/>
      <c r="Q56" s="13" t="s">
        <v>181</v>
      </c>
      <c r="R56" s="17" t="n">
        <v>46267</v>
      </c>
    </row>
    <row r="57" customFormat="false" ht="33.75" hidden="false" customHeight="true" outlineLevel="0" collapsed="false">
      <c r="B57" s="12" t="s">
        <v>182</v>
      </c>
      <c r="C57" s="13" t="s">
        <v>183</v>
      </c>
      <c r="D57" s="13" t="s">
        <v>26</v>
      </c>
      <c r="E57" s="13" t="s">
        <v>184</v>
      </c>
      <c r="F57" s="13" t="s">
        <v>171</v>
      </c>
      <c r="G57" s="13" t="s">
        <v>173</v>
      </c>
      <c r="H57" s="13" t="str">
        <f aca="false">IF($B57="","",$F57&amp;" · "&amp;$B57&amp;" · "&amp;$C57)</f>
        <v>NEWSLETTER · Logo · 62px height, 200-400px width</v>
      </c>
      <c r="I57" s="14" t="n">
        <v>0.004</v>
      </c>
      <c r="J57" s="15"/>
      <c r="K57" s="15"/>
      <c r="L57" s="15"/>
      <c r="M57" s="13" t="s">
        <v>174</v>
      </c>
      <c r="N57" s="16" t="s">
        <v>180</v>
      </c>
      <c r="O57" s="13" t="str">
        <f aca="false">IF(COUNT($I57:$L57)=0,"⚠ none",IF(COUNT($I57:$L57)=1,"partial","yes"))</f>
        <v>partial</v>
      </c>
      <c r="P57" s="16"/>
      <c r="Q57" s="13" t="s">
        <v>130</v>
      </c>
      <c r="R57" s="17" t="n">
        <v>46267</v>
      </c>
    </row>
    <row r="58" customFormat="false" ht="33.75" hidden="false" customHeight="true" outlineLevel="0" collapsed="false">
      <c r="B58" s="12" t="s">
        <v>185</v>
      </c>
      <c r="C58" s="13" t="s">
        <v>186</v>
      </c>
      <c r="D58" s="13" t="s">
        <v>26</v>
      </c>
      <c r="E58" s="13" t="s">
        <v>187</v>
      </c>
      <c r="F58" s="13" t="s">
        <v>171</v>
      </c>
      <c r="G58" s="13" t="s">
        <v>173</v>
      </c>
      <c r="H58" s="13" t="str">
        <f aca="false">IF($B58="","",$F58&amp;" · "&amp;$B58&amp;" · "&amp;$C58)</f>
        <v>NEWSLETTER · Native · 600x314</v>
      </c>
      <c r="I58" s="14" t="n">
        <v>0.006</v>
      </c>
      <c r="J58" s="15"/>
      <c r="K58" s="15"/>
      <c r="L58" s="15"/>
      <c r="M58" s="13" t="s">
        <v>174</v>
      </c>
      <c r="N58" s="16" t="s">
        <v>180</v>
      </c>
      <c r="O58" s="13" t="str">
        <f aca="false">IF(COUNT($I58:$L58)=0,"⚠ none",IF(COUNT($I58:$L58)=1,"partial","yes"))</f>
        <v>partial</v>
      </c>
      <c r="P58" s="16"/>
      <c r="Q58" s="13" t="s">
        <v>188</v>
      </c>
      <c r="R58" s="17" t="n">
        <v>46267</v>
      </c>
    </row>
    <row r="59" customFormat="false" ht="19.5" hidden="false" customHeight="true" outlineLevel="0" collapsed="false">
      <c r="B59" s="11" t="s">
        <v>189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customFormat="false" ht="33.75" hidden="false" customHeight="true" outlineLevel="0" collapsed="false">
      <c r="B60" s="12" t="s">
        <v>190</v>
      </c>
      <c r="C60" s="13" t="s">
        <v>191</v>
      </c>
      <c r="D60" s="13" t="s">
        <v>26</v>
      </c>
      <c r="E60" s="13" t="s">
        <v>192</v>
      </c>
      <c r="F60" s="13" t="s">
        <v>189</v>
      </c>
      <c r="G60" s="13" t="s">
        <v>193</v>
      </c>
      <c r="H60" s="13" t="str">
        <f aca="false">IF($B60="","",$F60&amp;" · "&amp;$B60&amp;" · "&amp;$C60)</f>
        <v>PODCAST · Podcast Audio Ads · up to 1-minute host-read</v>
      </c>
      <c r="I60" s="14"/>
      <c r="J60" s="15"/>
      <c r="K60" s="15"/>
      <c r="L60" s="15"/>
      <c r="M60" s="13" t="s">
        <v>174</v>
      </c>
      <c r="N60" s="16" t="s">
        <v>194</v>
      </c>
      <c r="O60" s="13" t="str">
        <f aca="false">IF(COUNT($I60:$L60)=0,"⚠ none",IF(COUNT($I60:$L60)=1,"partial","yes"))</f>
        <v>⚠ none</v>
      </c>
      <c r="P60" s="18" t="s">
        <v>195</v>
      </c>
      <c r="Q60" s="13" t="s">
        <v>174</v>
      </c>
      <c r="R60" s="17" t="n">
        <v>46267</v>
      </c>
    </row>
    <row r="61" customFormat="false" ht="19.5" hidden="false" customHeight="true" outlineLevel="0" collapsed="false">
      <c r="B61" s="11" t="s">
        <v>196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customFormat="false" ht="33.75" hidden="false" customHeight="true" outlineLevel="0" collapsed="false">
      <c r="B62" s="12" t="s">
        <v>197</v>
      </c>
      <c r="C62" s="13" t="s">
        <v>25</v>
      </c>
      <c r="D62" s="13" t="s">
        <v>198</v>
      </c>
      <c r="E62" s="13" t="s">
        <v>27</v>
      </c>
      <c r="F62" s="13" t="s">
        <v>196</v>
      </c>
      <c r="G62" s="13" t="s">
        <v>199</v>
      </c>
      <c r="H62" s="13" t="str">
        <f aca="false">IF($B62="","",$F62&amp;" · "&amp;$B62&amp;" · "&amp;$C62)</f>
        <v>APPLE NEWS · Standard · 300x250</v>
      </c>
      <c r="I62" s="14" t="n">
        <v>0.002</v>
      </c>
      <c r="J62" s="15" t="n">
        <v>1</v>
      </c>
      <c r="K62" s="15"/>
      <c r="L62" s="15"/>
      <c r="M62" s="13" t="s">
        <v>200</v>
      </c>
      <c r="N62" s="16" t="s">
        <v>201</v>
      </c>
      <c r="O62" s="13" t="str">
        <f aca="false">IF(COUNT($I62:$L62)=0,"⚠ none",IF(COUNT($I62:$L62)=1,"partial","yes"))</f>
        <v>yes</v>
      </c>
      <c r="P62" s="18" t="s">
        <v>202</v>
      </c>
      <c r="Q62" s="13" t="s">
        <v>203</v>
      </c>
      <c r="R62" s="17" t="n">
        <v>46267</v>
      </c>
    </row>
    <row r="63" customFormat="false" ht="33.75" hidden="false" customHeight="true" outlineLevel="0" collapsed="false">
      <c r="B63" s="12" t="s">
        <v>204</v>
      </c>
      <c r="C63" s="13" t="s">
        <v>205</v>
      </c>
      <c r="D63" s="13" t="s">
        <v>198</v>
      </c>
      <c r="E63" s="13" t="s">
        <v>27</v>
      </c>
      <c r="F63" s="13" t="s">
        <v>196</v>
      </c>
      <c r="G63" s="13" t="s">
        <v>199</v>
      </c>
      <c r="H63" s="13" t="str">
        <f aca="false">IF($B63="","",$F63&amp;" · "&amp;$B63&amp;" · "&amp;$C63)</f>
        <v>APPLE NEWS · Double · 1242x332 and 1536x264</v>
      </c>
      <c r="I63" s="14" t="n">
        <v>0.003</v>
      </c>
      <c r="J63" s="15" t="n">
        <v>1</v>
      </c>
      <c r="K63" s="15"/>
      <c r="L63" s="15"/>
      <c r="M63" s="13" t="s">
        <v>200</v>
      </c>
      <c r="N63" s="16" t="s">
        <v>206</v>
      </c>
      <c r="O63" s="13" t="str">
        <f aca="false">IF(COUNT($I63:$L63)=0,"⚠ none",IF(COUNT($I63:$L63)=1,"partial","yes"))</f>
        <v>yes</v>
      </c>
      <c r="P63" s="18" t="s">
        <v>207</v>
      </c>
      <c r="Q63" s="13" t="s">
        <v>208</v>
      </c>
      <c r="R63" s="17" t="n">
        <v>46267</v>
      </c>
    </row>
    <row r="64" customFormat="false" ht="33.75" hidden="false" customHeight="true" outlineLevel="0" collapsed="false">
      <c r="B64" s="12" t="s">
        <v>209</v>
      </c>
      <c r="C64" s="13" t="s">
        <v>210</v>
      </c>
      <c r="D64" s="13" t="s">
        <v>198</v>
      </c>
      <c r="E64" s="13" t="s">
        <v>27</v>
      </c>
      <c r="F64" s="13" t="s">
        <v>196</v>
      </c>
      <c r="G64" s="13" t="s">
        <v>199</v>
      </c>
      <c r="H64" s="13" t="str">
        <f aca="false">IF($B64="","",$F64&amp;" · "&amp;$B64&amp;" · "&amp;$C64)</f>
        <v>APPLE NEWS · Large · 1242x699 and 1536x864</v>
      </c>
      <c r="I64" s="14" t="n">
        <v>0.003</v>
      </c>
      <c r="J64" s="15" t="n">
        <v>1</v>
      </c>
      <c r="K64" s="15"/>
      <c r="L64" s="15"/>
      <c r="M64" s="13" t="s">
        <v>200</v>
      </c>
      <c r="N64" s="16" t="s">
        <v>206</v>
      </c>
      <c r="O64" s="13" t="str">
        <f aca="false">IF(COUNT($I64:$L64)=0,"⚠ none",IF(COUNT($I64:$L64)=1,"partial","yes"))</f>
        <v>yes</v>
      </c>
      <c r="P64" s="18" t="s">
        <v>207</v>
      </c>
      <c r="Q64" s="13" t="s">
        <v>208</v>
      </c>
      <c r="R64" s="17" t="n">
        <v>46267</v>
      </c>
    </row>
    <row r="65" customFormat="false" ht="33.75" hidden="false" customHeight="true" outlineLevel="0" collapsed="false">
      <c r="B65" s="12" t="s">
        <v>211</v>
      </c>
      <c r="C65" s="13" t="s">
        <v>212</v>
      </c>
      <c r="D65" s="13" t="s">
        <v>198</v>
      </c>
      <c r="E65" s="13" t="s">
        <v>213</v>
      </c>
      <c r="F65" s="13" t="s">
        <v>196</v>
      </c>
      <c r="G65" s="13" t="s">
        <v>199</v>
      </c>
      <c r="H65" s="13" t="str">
        <f aca="false">IF($B65="","",$F65&amp;" · "&amp;$B65&amp;" · "&amp;$C65)</f>
        <v>APPLE NEWS · MREC · 900x750</v>
      </c>
      <c r="I65" s="14" t="n">
        <v>0.003</v>
      </c>
      <c r="J65" s="15" t="n">
        <v>1</v>
      </c>
      <c r="K65" s="15"/>
      <c r="L65" s="15"/>
      <c r="M65" s="13" t="s">
        <v>200</v>
      </c>
      <c r="N65" s="16" t="s">
        <v>206</v>
      </c>
      <c r="O65" s="13" t="str">
        <f aca="false">IF(COUNT($I65:$L65)=0,"⚠ none",IF(COUNT($I65:$L65)=1,"partial","yes"))</f>
        <v>yes</v>
      </c>
      <c r="P65" s="18" t="s">
        <v>207</v>
      </c>
      <c r="Q65" s="13" t="s">
        <v>208</v>
      </c>
      <c r="R65" s="17" t="n">
        <v>46267</v>
      </c>
    </row>
    <row r="66" customFormat="false" ht="33.75" hidden="false" customHeight="true" outlineLevel="0" collapsed="false">
      <c r="B66" s="12" t="s">
        <v>214</v>
      </c>
      <c r="C66" s="13" t="s">
        <v>215</v>
      </c>
      <c r="D66" s="13" t="s">
        <v>198</v>
      </c>
      <c r="E66" s="13" t="s">
        <v>27</v>
      </c>
      <c r="F66" s="13" t="s">
        <v>196</v>
      </c>
      <c r="G66" s="13" t="s">
        <v>199</v>
      </c>
      <c r="H66" s="13" t="str">
        <f aca="false">IF($B66="","",$F66&amp;" · "&amp;$B66&amp;" · "&amp;$C66)</f>
        <v>APPLE NEWS · Interstitial · 1242x2208 and 1536x2048</v>
      </c>
      <c r="I66" s="14" t="n">
        <v>0.003</v>
      </c>
      <c r="J66" s="15" t="n">
        <v>1</v>
      </c>
      <c r="K66" s="15"/>
      <c r="L66" s="15"/>
      <c r="M66" s="13" t="s">
        <v>200</v>
      </c>
      <c r="N66" s="16" t="s">
        <v>206</v>
      </c>
      <c r="O66" s="13" t="str">
        <f aca="false">IF(COUNT($I66:$L66)=0,"⚠ none",IF(COUNT($I66:$L66)=1,"partial","yes"))</f>
        <v>yes</v>
      </c>
      <c r="P66" s="18" t="s">
        <v>207</v>
      </c>
      <c r="Q66" s="13" t="s">
        <v>208</v>
      </c>
      <c r="R66" s="17" t="n">
        <v>46267</v>
      </c>
    </row>
    <row r="67" customFormat="false" ht="33.75" hidden="false" customHeight="true" outlineLevel="0" collapsed="false">
      <c r="B67" s="12" t="s">
        <v>216</v>
      </c>
      <c r="C67" s="13" t="s">
        <v>217</v>
      </c>
      <c r="D67" s="13" t="s">
        <v>198</v>
      </c>
      <c r="E67" s="13" t="s">
        <v>213</v>
      </c>
      <c r="F67" s="13" t="s">
        <v>196</v>
      </c>
      <c r="G67" s="13" t="s">
        <v>199</v>
      </c>
      <c r="H67" s="13" t="str">
        <f aca="false">IF($B67="","",$F67&amp;" · "&amp;$B67&amp;" · "&amp;$C67)</f>
        <v>APPLE NEWS · PreRoll and OutStream · 1080x1920, 1080x1080 or 1920x1080</v>
      </c>
      <c r="I67" s="14" t="n">
        <v>0.003</v>
      </c>
      <c r="J67" s="15" t="n">
        <v>1</v>
      </c>
      <c r="K67" s="15"/>
      <c r="L67" s="15"/>
      <c r="M67" s="13" t="s">
        <v>200</v>
      </c>
      <c r="N67" s="16" t="s">
        <v>206</v>
      </c>
      <c r="O67" s="13" t="str">
        <f aca="false">IF(COUNT($I67:$L67)=0,"⚠ none",IF(COUNT($I67:$L67)=1,"partial","yes"))</f>
        <v>yes</v>
      </c>
      <c r="P67" s="18" t="s">
        <v>218</v>
      </c>
      <c r="Q67" s="13" t="s">
        <v>208</v>
      </c>
      <c r="R67" s="17" t="n">
        <v>46267</v>
      </c>
    </row>
    <row r="68" customFormat="false" ht="33.75" hidden="false" customHeight="true" outlineLevel="0" collapsed="false">
      <c r="B68" s="12" t="s">
        <v>219</v>
      </c>
      <c r="C68" s="13" t="s">
        <v>156</v>
      </c>
      <c r="D68" s="13" t="s">
        <v>198</v>
      </c>
      <c r="E68" s="13" t="s">
        <v>213</v>
      </c>
      <c r="F68" s="13" t="s">
        <v>196</v>
      </c>
      <c r="G68" s="13" t="s">
        <v>199</v>
      </c>
      <c r="H68" s="13" t="str">
        <f aca="false">IF($B68="","",$F68&amp;" · "&amp;$B68&amp;" · "&amp;$C68)</f>
        <v>APPLE NEWS · Sponsored Content · 1200x627</v>
      </c>
      <c r="I68" s="14" t="n">
        <v>0.01</v>
      </c>
      <c r="J68" s="15" t="n">
        <v>1</v>
      </c>
      <c r="K68" s="15"/>
      <c r="L68" s="15"/>
      <c r="M68" s="13" t="s">
        <v>200</v>
      </c>
      <c r="N68" s="16" t="s">
        <v>206</v>
      </c>
      <c r="O68" s="13" t="str">
        <f aca="false">IF(COUNT($I68:$L68)=0,"⚠ none",IF(COUNT($I68:$L68)=1,"partial","yes"))</f>
        <v>yes</v>
      </c>
      <c r="P68" s="16"/>
      <c r="Q68" s="13" t="s">
        <v>220</v>
      </c>
      <c r="R68" s="17" t="n">
        <v>46267</v>
      </c>
    </row>
    <row r="69" customFormat="false" ht="19.5" hidden="false" customHeight="true" outlineLevel="0" collapsed="false">
      <c r="B69" s="11" t="s">
        <v>221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customFormat="false" ht="33.75" hidden="false" customHeight="true" outlineLevel="0" collapsed="false">
      <c r="B70" s="12" t="s">
        <v>222</v>
      </c>
      <c r="C70" s="13" t="s">
        <v>223</v>
      </c>
      <c r="D70" s="13" t="s">
        <v>26</v>
      </c>
      <c r="E70" s="13" t="s">
        <v>27</v>
      </c>
      <c r="F70" s="13" t="s">
        <v>221</v>
      </c>
      <c r="G70" s="13" t="s">
        <v>214</v>
      </c>
      <c r="H70" s="13" t="str">
        <f aca="false">IF($B70="","",$F70&amp;" · "&amp;$B70&amp;" · "&amp;$C70)</f>
        <v>INTERSTITIAL · Mobile · 900x1600</v>
      </c>
      <c r="I70" s="14" t="n">
        <v>0.008</v>
      </c>
      <c r="J70" s="15" t="n">
        <v>1</v>
      </c>
      <c r="K70" s="15"/>
      <c r="L70" s="15"/>
      <c r="M70" s="13" t="s">
        <v>76</v>
      </c>
      <c r="N70" s="16" t="s">
        <v>224</v>
      </c>
      <c r="O70" s="13" t="str">
        <f aca="false">IF(COUNT($I70:$L70)=0,"⚠ none",IF(COUNT($I70:$L70)=1,"partial","yes"))</f>
        <v>yes</v>
      </c>
      <c r="P70" s="18" t="s">
        <v>225</v>
      </c>
      <c r="Q70" s="13" t="s">
        <v>226</v>
      </c>
      <c r="R70" s="17" t="n">
        <v>46267</v>
      </c>
    </row>
    <row r="71" customFormat="false" ht="33.75" hidden="false" customHeight="true" outlineLevel="0" collapsed="false">
      <c r="B71" s="12" t="s">
        <v>227</v>
      </c>
      <c r="C71" s="13" t="s">
        <v>228</v>
      </c>
      <c r="D71" s="13" t="s">
        <v>26</v>
      </c>
      <c r="E71" s="13" t="s">
        <v>27</v>
      </c>
      <c r="F71" s="13" t="s">
        <v>221</v>
      </c>
      <c r="G71" s="13" t="s">
        <v>214</v>
      </c>
      <c r="H71" s="13" t="str">
        <f aca="false">IF($B71="","",$F71&amp;" · "&amp;$B71&amp;" · "&amp;$C71)</f>
        <v>INTERSTITIAL · Desktop · 1600x900</v>
      </c>
      <c r="I71" s="14" t="n">
        <v>0.008</v>
      </c>
      <c r="J71" s="15" t="n">
        <v>1</v>
      </c>
      <c r="K71" s="15"/>
      <c r="L71" s="15"/>
      <c r="M71" s="13" t="s">
        <v>76</v>
      </c>
      <c r="N71" s="16" t="s">
        <v>229</v>
      </c>
      <c r="O71" s="13" t="str">
        <f aca="false">IF(COUNT($I71:$L71)=0,"⚠ none",IF(COUNT($I71:$L71)=1,"partial","yes"))</f>
        <v>yes</v>
      </c>
      <c r="P71" s="18" t="s">
        <v>225</v>
      </c>
      <c r="Q71" s="13" t="s">
        <v>226</v>
      </c>
      <c r="R71" s="17" t="n">
        <v>46267</v>
      </c>
    </row>
    <row r="73" customFormat="false" ht="15" hidden="false" customHeight="false" outlineLevel="0" collapsed="false">
      <c r="B73" s="19" t="s">
        <v>230</v>
      </c>
    </row>
    <row r="74" customFormat="false" ht="15" hidden="false" customHeight="false" outlineLevel="0" collapsed="false">
      <c r="B74" s="20" t="s">
        <v>231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customFormat="false" ht="15" hidden="false" customHeight="false" outlineLevel="0" collapsed="false">
      <c r="B75" s="20" t="s">
        <v>232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customFormat="false" ht="15" hidden="false" customHeight="false" outlineLevel="0" collapsed="false">
      <c r="B76" s="20" t="s">
        <v>233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customFormat="false" ht="15" hidden="false" customHeight="false" outlineLevel="0" collapsed="false">
      <c r="B77" s="20" t="s">
        <v>234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customFormat="false" ht="15" hidden="false" customHeight="false" outlineLevel="0" collapsed="false">
      <c r="B78" s="20" t="s">
        <v>235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</sheetData>
  <mergeCells count="22">
    <mergeCell ref="B1:R1"/>
    <mergeCell ref="B2:R2"/>
    <mergeCell ref="B3:H3"/>
    <mergeCell ref="I3:L3"/>
    <mergeCell ref="M3:N3"/>
    <mergeCell ref="O3:R3"/>
    <mergeCell ref="B5:R5"/>
    <mergeCell ref="B12:R12"/>
    <mergeCell ref="B14:R14"/>
    <mergeCell ref="B21:R21"/>
    <mergeCell ref="B29:R29"/>
    <mergeCell ref="B38:R38"/>
    <mergeCell ref="B46:R46"/>
    <mergeCell ref="B54:R54"/>
    <mergeCell ref="B59:R59"/>
    <mergeCell ref="B61:R61"/>
    <mergeCell ref="B69:R69"/>
    <mergeCell ref="B74:R74"/>
    <mergeCell ref="B75:R75"/>
    <mergeCell ref="B76:R76"/>
    <mergeCell ref="B77:R77"/>
    <mergeCell ref="B78:R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23" min="17" style="0" width="11"/>
    <col collapsed="false" customWidth="true" hidden="false" outlineLevel="0" max="24" min="24" style="0" width="13"/>
  </cols>
  <sheetData>
    <row r="1" customFormat="false" ht="24" hidden="false" customHeight="true" outlineLevel="0" collapsed="false">
      <c r="B1" s="1" t="s">
        <v>236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5.5" hidden="false" customHeight="true" outlineLevel="0" collapsed="false">
      <c r="B2" s="2" t="s">
        <v>237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9.5" hidden="false" customHeight="true" outlineLevel="0" collapsed="false">
      <c r="B3" s="3" t="s">
        <v>238</v>
      </c>
      <c r="C3" s="3"/>
      <c r="D3" s="3"/>
      <c r="E3" s="3"/>
      <c r="F3" s="21" t="s">
        <v>239</v>
      </c>
      <c r="G3" s="21"/>
      <c r="H3" s="21"/>
      <c r="I3" s="21"/>
      <c r="J3" s="21"/>
      <c r="K3" s="21"/>
      <c r="L3" s="5" t="s">
        <v>240</v>
      </c>
      <c r="M3" s="5"/>
      <c r="N3" s="5"/>
      <c r="O3" s="4" t="s">
        <v>241</v>
      </c>
      <c r="P3" s="4"/>
      <c r="Q3" s="4"/>
      <c r="R3" s="6" t="s">
        <v>242</v>
      </c>
      <c r="S3" s="6"/>
      <c r="T3" s="6"/>
      <c r="U3" s="6" t="s">
        <v>243</v>
      </c>
      <c r="V3" s="6"/>
      <c r="W3" s="6"/>
      <c r="X3" s="6"/>
    </row>
    <row r="4" customFormat="false" ht="33.75" hidden="false" customHeight="true" outlineLevel="0" collapsed="false">
      <c r="B4" s="7" t="s">
        <v>244</v>
      </c>
      <c r="C4" s="7" t="s">
        <v>245</v>
      </c>
      <c r="D4" s="7" t="s">
        <v>246</v>
      </c>
      <c r="E4" s="7" t="s">
        <v>247</v>
      </c>
      <c r="F4" s="22" t="s">
        <v>248</v>
      </c>
      <c r="G4" s="22" t="s">
        <v>249</v>
      </c>
      <c r="H4" s="22" t="s">
        <v>250</v>
      </c>
      <c r="I4" s="22" t="s">
        <v>251</v>
      </c>
      <c r="J4" s="22" t="s">
        <v>252</v>
      </c>
      <c r="K4" s="22" t="s">
        <v>253</v>
      </c>
      <c r="L4" s="9" t="s">
        <v>254</v>
      </c>
      <c r="M4" s="9" t="s">
        <v>255</v>
      </c>
      <c r="N4" s="9" t="s">
        <v>256</v>
      </c>
      <c r="O4" s="8" t="s">
        <v>254</v>
      </c>
      <c r="P4" s="8" t="s">
        <v>255</v>
      </c>
      <c r="Q4" s="8" t="s">
        <v>256</v>
      </c>
      <c r="R4" s="10" t="s">
        <v>254</v>
      </c>
      <c r="S4" s="10" t="s">
        <v>255</v>
      </c>
      <c r="T4" s="10" t="s">
        <v>256</v>
      </c>
      <c r="U4" s="10" t="s">
        <v>254</v>
      </c>
      <c r="V4" s="10" t="s">
        <v>255</v>
      </c>
      <c r="W4" s="10" t="s">
        <v>256</v>
      </c>
      <c r="X4" s="10" t="s">
        <v>257</v>
      </c>
    </row>
    <row r="5" customFormat="false" ht="25.5" hidden="false" customHeight="true" outlineLevel="0" collapsed="false">
      <c r="B5" s="23" t="s">
        <v>258</v>
      </c>
      <c r="C5" s="23" t="s">
        <v>259</v>
      </c>
      <c r="D5" s="24" t="n">
        <v>46235</v>
      </c>
      <c r="E5" s="24" t="n">
        <v>46265</v>
      </c>
      <c r="F5" s="25" t="n">
        <v>1250000</v>
      </c>
      <c r="G5" s="25" t="n">
        <v>1500</v>
      </c>
      <c r="H5" s="25" t="n">
        <v>1180000</v>
      </c>
      <c r="I5" s="25" t="n">
        <v>796500</v>
      </c>
      <c r="J5" s="25"/>
      <c r="K5" s="25"/>
      <c r="L5" s="26" t="n">
        <f aca="false">IFERROR($G5/$F5,"")</f>
        <v>0.0012</v>
      </c>
      <c r="M5" s="27" t="n">
        <f aca="false">IFERROR($I5/$H5,"")</f>
        <v>0.675</v>
      </c>
      <c r="N5" s="27" t="str">
        <f aca="false">IFERROR($K5/$J5,"")</f>
        <v/>
      </c>
      <c r="O5" s="26" t="n">
        <f aca="false">IF($C5="","",IFERROR(IF(INDEX(Benchmarks!$I$6:$I$71,MATCH($C5,Benchmarks!$H$6:$H$71,0))="","",INDEX(Benchmarks!$I$6:$I$71,MATCH($C5,Benchmarks!$H$6:$H$71,0))),""))</f>
        <v>0.001</v>
      </c>
      <c r="P5" s="27" t="n">
        <f aca="false">IF($C5="","",IFERROR(IF(INDEX(Benchmarks!$J$6:$J$71,MATCH($C5,Benchmarks!$H$6:$H$71,0))="","",INDEX(Benchmarks!$J$6:$J$71,MATCH($C5,Benchmarks!$H$6:$H$71,0))),""))</f>
        <v>0.7</v>
      </c>
      <c r="Q5" s="27" t="str">
        <f aca="false">IF($C5="","",IFERROR(IF(INDEX(Benchmarks!$K$6:$K$71,MATCH($C5,Benchmarks!$H$6:$H$71,0))="","",INDEX(Benchmarks!$K$6:$K$71,MATCH($C5,Benchmarks!$H$6:$H$71,0))),""))</f>
        <v/>
      </c>
      <c r="R5" s="28" t="n">
        <f aca="false">IF(OR($L5="",$O5=""),"",($L5-$O5)*100)</f>
        <v>0.02</v>
      </c>
      <c r="S5" s="28" t="n">
        <f aca="false">IF(OR($M5="",$P5=""),"",($M5-$P5)*100)</f>
        <v>-2.49999999999999</v>
      </c>
      <c r="T5" s="28" t="str">
        <f aca="false">IF(OR($N5="",$Q5=""),"",($N5-$Q5)*100)</f>
        <v/>
      </c>
      <c r="U5" s="29" t="str">
        <f aca="false">IF(OR($L5="",$O5=""),"",IF($F5&lt;Thresholds!$D$7,"THIN",IF($L5&gt;=$O5,"PASS",IF($L5&gt;=$O5*Thresholds!$D$6,"WATCH","MISS"))))</f>
        <v>PASS</v>
      </c>
      <c r="V5" s="29" t="str">
        <f aca="false">IF(OR($M5="",$P5=""),"",IF($F5&lt;Thresholds!$D$7,"THIN",IF($M5&gt;=$P5,"PASS",IF($M5&gt;=$P5*Thresholds!$D$6,"WATCH","MISS"))))</f>
        <v>WATCH</v>
      </c>
      <c r="W5" s="29" t="str">
        <f aca="false">IF(OR($N5="",$Q5=""),"",IF($F5&lt;Thresholds!$D$7,"THIN",IF($N5&gt;=$Q5,"PASS",IF($N5&gt;=$Q5*Thresholds!$D$6,"WATCH","MISS"))))</f>
        <v/>
      </c>
      <c r="X5" s="30" t="str">
        <f aca="false">IF(COUNTIF($U5:$W5,"MISS")&gt;0,"MISS",IF(COUNTIF($U5:$W5,"WATCH")&gt;0,"WATCH",IF(COUNTIF($U5:$W5,"PASS")&gt;0,"PASS",IF(COUNTIF($U5:$W5,"THIN")&gt;0,"THIN",""))))</f>
        <v>WATCH</v>
      </c>
    </row>
    <row r="6" customFormat="false" ht="25.5" hidden="false" customHeight="true" outlineLevel="0" collapsed="false">
      <c r="B6" s="31"/>
      <c r="C6" s="31"/>
      <c r="D6" s="32"/>
      <c r="E6" s="32"/>
      <c r="F6" s="33"/>
      <c r="G6" s="33"/>
      <c r="H6" s="33"/>
      <c r="I6" s="33"/>
      <c r="J6" s="33"/>
      <c r="K6" s="33"/>
      <c r="L6" s="34" t="str">
        <f aca="false">IFERROR($G6/$F6,"")</f>
        <v/>
      </c>
      <c r="M6" s="35" t="str">
        <f aca="false">IFERROR($I6/$H6,"")</f>
        <v/>
      </c>
      <c r="N6" s="35" t="str">
        <f aca="false">IFERROR($K6/$J6,"")</f>
        <v/>
      </c>
      <c r="O6" s="34" t="str">
        <f aca="false">IF($C6="","",IFERROR(IF(INDEX(Benchmarks!$I$6:$I$71,MATCH($C6,Benchmarks!$H$6:$H$71,0))="","",INDEX(Benchmarks!$I$6:$I$71,MATCH($C6,Benchmarks!$H$6:$H$71,0))),""))</f>
        <v/>
      </c>
      <c r="P6" s="35" t="str">
        <f aca="false">IF($C6="","",IFERROR(IF(INDEX(Benchmarks!$J$6:$J$71,MATCH($C6,Benchmarks!$H$6:$H$71,0))="","",INDEX(Benchmarks!$J$6:$J$71,MATCH($C6,Benchmarks!$H$6:$H$71,0))),""))</f>
        <v/>
      </c>
      <c r="Q6" s="35" t="str">
        <f aca="false">IF($C6="","",IFERROR(IF(INDEX(Benchmarks!$K$6:$K$71,MATCH($C6,Benchmarks!$H$6:$H$71,0))="","",INDEX(Benchmarks!$K$6:$K$71,MATCH($C6,Benchmarks!$H$6:$H$71,0))),""))</f>
        <v/>
      </c>
      <c r="R6" s="36" t="str">
        <f aca="false">IF(OR($L6="",$O6=""),"",($L6-$O6)*100)</f>
        <v/>
      </c>
      <c r="S6" s="36" t="str">
        <f aca="false">IF(OR($M6="",$P6=""),"",($M6-$P6)*100)</f>
        <v/>
      </c>
      <c r="T6" s="36" t="str">
        <f aca="false">IF(OR($N6="",$Q6=""),"",($N6-$Q6)*100)</f>
        <v/>
      </c>
      <c r="U6" s="37" t="str">
        <f aca="false">IF(OR($L6="",$O6=""),"",IF($F6&lt;Thresholds!$D$7,"THIN",IF($L6&gt;=$O6,"PASS",IF($L6&gt;=$O6*Thresholds!$D$6,"WATCH","MISS"))))</f>
        <v/>
      </c>
      <c r="V6" s="37" t="str">
        <f aca="false">IF(OR($M6="",$P6=""),"",IF($F6&lt;Thresholds!$D$7,"THIN",IF($M6&gt;=$P6,"PASS",IF($M6&gt;=$P6*Thresholds!$D$6,"WATCH","MISS"))))</f>
        <v/>
      </c>
      <c r="W6" s="37" t="str">
        <f aca="false">IF(OR($N6="",$Q6=""),"",IF($F6&lt;Thresholds!$D$7,"THIN",IF($N6&gt;=$Q6,"PASS",IF($N6&gt;=$Q6*Thresholds!$D$6,"WATCH","MISS"))))</f>
        <v/>
      </c>
      <c r="X6" s="38" t="str">
        <f aca="false">IF(COUNTIF($U6:$W6,"MISS")&gt;0,"MISS",IF(COUNTIF($U6:$W6,"WATCH")&gt;0,"WATCH",IF(COUNTIF($U6:$W6,"PASS")&gt;0,"PASS",IF(COUNTIF($U6:$W6,"THIN")&gt;0,"THIN",""))))</f>
        <v/>
      </c>
    </row>
    <row r="7" customFormat="false" ht="25.5" hidden="false" customHeight="true" outlineLevel="0" collapsed="false">
      <c r="B7" s="31"/>
      <c r="C7" s="31"/>
      <c r="D7" s="32"/>
      <c r="E7" s="32"/>
      <c r="F7" s="33"/>
      <c r="G7" s="33"/>
      <c r="H7" s="33"/>
      <c r="I7" s="33"/>
      <c r="J7" s="33"/>
      <c r="K7" s="33"/>
      <c r="L7" s="34" t="str">
        <f aca="false">IFERROR($G7/$F7,"")</f>
        <v/>
      </c>
      <c r="M7" s="35" t="str">
        <f aca="false">IFERROR($I7/$H7,"")</f>
        <v/>
      </c>
      <c r="N7" s="35" t="str">
        <f aca="false">IFERROR($K7/$J7,"")</f>
        <v/>
      </c>
      <c r="O7" s="34" t="str">
        <f aca="false">IF($C7="","",IFERROR(IF(INDEX(Benchmarks!$I$6:$I$71,MATCH($C7,Benchmarks!$H$6:$H$71,0))="","",INDEX(Benchmarks!$I$6:$I$71,MATCH($C7,Benchmarks!$H$6:$H$71,0))),""))</f>
        <v/>
      </c>
      <c r="P7" s="35" t="str">
        <f aca="false">IF($C7="","",IFERROR(IF(INDEX(Benchmarks!$J$6:$J$71,MATCH($C7,Benchmarks!$H$6:$H$71,0))="","",INDEX(Benchmarks!$J$6:$J$71,MATCH($C7,Benchmarks!$H$6:$H$71,0))),""))</f>
        <v/>
      </c>
      <c r="Q7" s="35" t="str">
        <f aca="false">IF($C7="","",IFERROR(IF(INDEX(Benchmarks!$K$6:$K$71,MATCH($C7,Benchmarks!$H$6:$H$71,0))="","",INDEX(Benchmarks!$K$6:$K$71,MATCH($C7,Benchmarks!$H$6:$H$71,0))),""))</f>
        <v/>
      </c>
      <c r="R7" s="36" t="str">
        <f aca="false">IF(OR($L7="",$O7=""),"",($L7-$O7)*100)</f>
        <v/>
      </c>
      <c r="S7" s="36" t="str">
        <f aca="false">IF(OR($M7="",$P7=""),"",($M7-$P7)*100)</f>
        <v/>
      </c>
      <c r="T7" s="36" t="str">
        <f aca="false">IF(OR($N7="",$Q7=""),"",($N7-$Q7)*100)</f>
        <v/>
      </c>
      <c r="U7" s="37" t="str">
        <f aca="false">IF(OR($L7="",$O7=""),"",IF($F7&lt;Thresholds!$D$7,"THIN",IF($L7&gt;=$O7,"PASS",IF($L7&gt;=$O7*Thresholds!$D$6,"WATCH","MISS"))))</f>
        <v/>
      </c>
      <c r="V7" s="37" t="str">
        <f aca="false">IF(OR($M7="",$P7=""),"",IF($F7&lt;Thresholds!$D$7,"THIN",IF($M7&gt;=$P7,"PASS",IF($M7&gt;=$P7*Thresholds!$D$6,"WATCH","MISS"))))</f>
        <v/>
      </c>
      <c r="W7" s="37" t="str">
        <f aca="false">IF(OR($N7="",$Q7=""),"",IF($F7&lt;Thresholds!$D$7,"THIN",IF($N7&gt;=$Q7,"PASS",IF($N7&gt;=$Q7*Thresholds!$D$6,"WATCH","MISS"))))</f>
        <v/>
      </c>
      <c r="X7" s="38" t="str">
        <f aca="false">IF(COUNTIF($U7:$W7,"MISS")&gt;0,"MISS",IF(COUNTIF($U7:$W7,"WATCH")&gt;0,"WATCH",IF(COUNTIF($U7:$W7,"PASS")&gt;0,"PASS",IF(COUNTIF($U7:$W7,"THIN")&gt;0,"THIN",""))))</f>
        <v/>
      </c>
    </row>
    <row r="8" customFormat="false" ht="25.5" hidden="false" customHeight="true" outlineLevel="0" collapsed="false">
      <c r="B8" s="31"/>
      <c r="C8" s="31"/>
      <c r="D8" s="32"/>
      <c r="E8" s="32"/>
      <c r="F8" s="33"/>
      <c r="G8" s="33"/>
      <c r="H8" s="33"/>
      <c r="I8" s="33"/>
      <c r="J8" s="33"/>
      <c r="K8" s="33"/>
      <c r="L8" s="34" t="str">
        <f aca="false">IFERROR($G8/$F8,"")</f>
        <v/>
      </c>
      <c r="M8" s="35" t="str">
        <f aca="false">IFERROR($I8/$H8,"")</f>
        <v/>
      </c>
      <c r="N8" s="35" t="str">
        <f aca="false">IFERROR($K8/$J8,"")</f>
        <v/>
      </c>
      <c r="O8" s="34" t="str">
        <f aca="false">IF($C8="","",IFERROR(IF(INDEX(Benchmarks!$I$6:$I$71,MATCH($C8,Benchmarks!$H$6:$H$71,0))="","",INDEX(Benchmarks!$I$6:$I$71,MATCH($C8,Benchmarks!$H$6:$H$71,0))),""))</f>
        <v/>
      </c>
      <c r="P8" s="35" t="str">
        <f aca="false">IF($C8="","",IFERROR(IF(INDEX(Benchmarks!$J$6:$J$71,MATCH($C8,Benchmarks!$H$6:$H$71,0))="","",INDEX(Benchmarks!$J$6:$J$71,MATCH($C8,Benchmarks!$H$6:$H$71,0))),""))</f>
        <v/>
      </c>
      <c r="Q8" s="35" t="str">
        <f aca="false">IF($C8="","",IFERROR(IF(INDEX(Benchmarks!$K$6:$K$71,MATCH($C8,Benchmarks!$H$6:$H$71,0))="","",INDEX(Benchmarks!$K$6:$K$71,MATCH($C8,Benchmarks!$H$6:$H$71,0))),""))</f>
        <v/>
      </c>
      <c r="R8" s="36" t="str">
        <f aca="false">IF(OR($L8="",$O8=""),"",($L8-$O8)*100)</f>
        <v/>
      </c>
      <c r="S8" s="36" t="str">
        <f aca="false">IF(OR($M8="",$P8=""),"",($M8-$P8)*100)</f>
        <v/>
      </c>
      <c r="T8" s="36" t="str">
        <f aca="false">IF(OR($N8="",$Q8=""),"",($N8-$Q8)*100)</f>
        <v/>
      </c>
      <c r="U8" s="37" t="str">
        <f aca="false">IF(OR($L8="",$O8=""),"",IF($F8&lt;Thresholds!$D$7,"THIN",IF($L8&gt;=$O8,"PASS",IF($L8&gt;=$O8*Thresholds!$D$6,"WATCH","MISS"))))</f>
        <v/>
      </c>
      <c r="V8" s="37" t="str">
        <f aca="false">IF(OR($M8="",$P8=""),"",IF($F8&lt;Thresholds!$D$7,"THIN",IF($M8&gt;=$P8,"PASS",IF($M8&gt;=$P8*Thresholds!$D$6,"WATCH","MISS"))))</f>
        <v/>
      </c>
      <c r="W8" s="37" t="str">
        <f aca="false">IF(OR($N8="",$Q8=""),"",IF($F8&lt;Thresholds!$D$7,"THIN",IF($N8&gt;=$Q8,"PASS",IF($N8&gt;=$Q8*Thresholds!$D$6,"WATCH","MISS"))))</f>
        <v/>
      </c>
      <c r="X8" s="38" t="str">
        <f aca="false">IF(COUNTIF($U8:$W8,"MISS")&gt;0,"MISS",IF(COUNTIF($U8:$W8,"WATCH")&gt;0,"WATCH",IF(COUNTIF($U8:$W8,"PASS")&gt;0,"PASS",IF(COUNTIF($U8:$W8,"THIN")&gt;0,"THIN",""))))</f>
        <v/>
      </c>
    </row>
    <row r="9" customFormat="false" ht="25.5" hidden="false" customHeight="true" outlineLevel="0" collapsed="false">
      <c r="B9" s="31"/>
      <c r="C9" s="31"/>
      <c r="D9" s="32"/>
      <c r="E9" s="32"/>
      <c r="F9" s="33"/>
      <c r="G9" s="33"/>
      <c r="H9" s="33"/>
      <c r="I9" s="33"/>
      <c r="J9" s="33"/>
      <c r="K9" s="33"/>
      <c r="L9" s="34" t="str">
        <f aca="false">IFERROR($G9/$F9,"")</f>
        <v/>
      </c>
      <c r="M9" s="35" t="str">
        <f aca="false">IFERROR($I9/$H9,"")</f>
        <v/>
      </c>
      <c r="N9" s="35" t="str">
        <f aca="false">IFERROR($K9/$J9,"")</f>
        <v/>
      </c>
      <c r="O9" s="34" t="str">
        <f aca="false">IF($C9="","",IFERROR(IF(INDEX(Benchmarks!$I$6:$I$71,MATCH($C9,Benchmarks!$H$6:$H$71,0))="","",INDEX(Benchmarks!$I$6:$I$71,MATCH($C9,Benchmarks!$H$6:$H$71,0))),""))</f>
        <v/>
      </c>
      <c r="P9" s="35" t="str">
        <f aca="false">IF($C9="","",IFERROR(IF(INDEX(Benchmarks!$J$6:$J$71,MATCH($C9,Benchmarks!$H$6:$H$71,0))="","",INDEX(Benchmarks!$J$6:$J$71,MATCH($C9,Benchmarks!$H$6:$H$71,0))),""))</f>
        <v/>
      </c>
      <c r="Q9" s="35" t="str">
        <f aca="false">IF($C9="","",IFERROR(IF(INDEX(Benchmarks!$K$6:$K$71,MATCH($C9,Benchmarks!$H$6:$H$71,0))="","",INDEX(Benchmarks!$K$6:$K$71,MATCH($C9,Benchmarks!$H$6:$H$71,0))),""))</f>
        <v/>
      </c>
      <c r="R9" s="36" t="str">
        <f aca="false">IF(OR($L9="",$O9=""),"",($L9-$O9)*100)</f>
        <v/>
      </c>
      <c r="S9" s="36" t="str">
        <f aca="false">IF(OR($M9="",$P9=""),"",($M9-$P9)*100)</f>
        <v/>
      </c>
      <c r="T9" s="36" t="str">
        <f aca="false">IF(OR($N9="",$Q9=""),"",($N9-$Q9)*100)</f>
        <v/>
      </c>
      <c r="U9" s="37" t="str">
        <f aca="false">IF(OR($L9="",$O9=""),"",IF($F9&lt;Thresholds!$D$7,"THIN",IF($L9&gt;=$O9,"PASS",IF($L9&gt;=$O9*Thresholds!$D$6,"WATCH","MISS"))))</f>
        <v/>
      </c>
      <c r="V9" s="37" t="str">
        <f aca="false">IF(OR($M9="",$P9=""),"",IF($F9&lt;Thresholds!$D$7,"THIN",IF($M9&gt;=$P9,"PASS",IF($M9&gt;=$P9*Thresholds!$D$6,"WATCH","MISS"))))</f>
        <v/>
      </c>
      <c r="W9" s="37" t="str">
        <f aca="false">IF(OR($N9="",$Q9=""),"",IF($F9&lt;Thresholds!$D$7,"THIN",IF($N9&gt;=$Q9,"PASS",IF($N9&gt;=$Q9*Thresholds!$D$6,"WATCH","MISS"))))</f>
        <v/>
      </c>
      <c r="X9" s="38" t="str">
        <f aca="false">IF(COUNTIF($U9:$W9,"MISS")&gt;0,"MISS",IF(COUNTIF($U9:$W9,"WATCH")&gt;0,"WATCH",IF(COUNTIF($U9:$W9,"PASS")&gt;0,"PASS",IF(COUNTIF($U9:$W9,"THIN")&gt;0,"THIN",""))))</f>
        <v/>
      </c>
    </row>
    <row r="10" customFormat="false" ht="25.5" hidden="false" customHeight="true" outlineLevel="0" collapsed="false">
      <c r="B10" s="31"/>
      <c r="C10" s="31"/>
      <c r="D10" s="32"/>
      <c r="E10" s="32"/>
      <c r="F10" s="33"/>
      <c r="G10" s="33"/>
      <c r="H10" s="33"/>
      <c r="I10" s="33"/>
      <c r="J10" s="33"/>
      <c r="K10" s="33"/>
      <c r="L10" s="34" t="str">
        <f aca="false">IFERROR($G10/$F10,"")</f>
        <v/>
      </c>
      <c r="M10" s="35" t="str">
        <f aca="false">IFERROR($I10/$H10,"")</f>
        <v/>
      </c>
      <c r="N10" s="35" t="str">
        <f aca="false">IFERROR($K10/$J10,"")</f>
        <v/>
      </c>
      <c r="O10" s="34" t="str">
        <f aca="false">IF($C10="","",IFERROR(IF(INDEX(Benchmarks!$I$6:$I$71,MATCH($C10,Benchmarks!$H$6:$H$71,0))="","",INDEX(Benchmarks!$I$6:$I$71,MATCH($C10,Benchmarks!$H$6:$H$71,0))),""))</f>
        <v/>
      </c>
      <c r="P10" s="35" t="str">
        <f aca="false">IF($C10="","",IFERROR(IF(INDEX(Benchmarks!$J$6:$J$71,MATCH($C10,Benchmarks!$H$6:$H$71,0))="","",INDEX(Benchmarks!$J$6:$J$71,MATCH($C10,Benchmarks!$H$6:$H$71,0))),""))</f>
        <v/>
      </c>
      <c r="Q10" s="35" t="str">
        <f aca="false">IF($C10="","",IFERROR(IF(INDEX(Benchmarks!$K$6:$K$71,MATCH($C10,Benchmarks!$H$6:$H$71,0))="","",INDEX(Benchmarks!$K$6:$K$71,MATCH($C10,Benchmarks!$H$6:$H$71,0))),""))</f>
        <v/>
      </c>
      <c r="R10" s="36" t="str">
        <f aca="false">IF(OR($L10="",$O10=""),"",($L10-$O10)*100)</f>
        <v/>
      </c>
      <c r="S10" s="36" t="str">
        <f aca="false">IF(OR($M10="",$P10=""),"",($M10-$P10)*100)</f>
        <v/>
      </c>
      <c r="T10" s="36" t="str">
        <f aca="false">IF(OR($N10="",$Q10=""),"",($N10-$Q10)*100)</f>
        <v/>
      </c>
      <c r="U10" s="37" t="str">
        <f aca="false">IF(OR($L10="",$O10=""),"",IF($F10&lt;Thresholds!$D$7,"THIN",IF($L10&gt;=$O10,"PASS",IF($L10&gt;=$O10*Thresholds!$D$6,"WATCH","MISS"))))</f>
        <v/>
      </c>
      <c r="V10" s="37" t="str">
        <f aca="false">IF(OR($M10="",$P10=""),"",IF($F10&lt;Thresholds!$D$7,"THIN",IF($M10&gt;=$P10,"PASS",IF($M10&gt;=$P10*Thresholds!$D$6,"WATCH","MISS"))))</f>
        <v/>
      </c>
      <c r="W10" s="37" t="str">
        <f aca="false">IF(OR($N10="",$Q10=""),"",IF($F10&lt;Thresholds!$D$7,"THIN",IF($N10&gt;=$Q10,"PASS",IF($N10&gt;=$Q10*Thresholds!$D$6,"WATCH","MISS"))))</f>
        <v/>
      </c>
      <c r="X10" s="38" t="str">
        <f aca="false">IF(COUNTIF($U10:$W10,"MISS")&gt;0,"MISS",IF(COUNTIF($U10:$W10,"WATCH")&gt;0,"WATCH",IF(COUNTIF($U10:$W10,"PASS")&gt;0,"PASS",IF(COUNTIF($U10:$W10,"THIN")&gt;0,"THIN",""))))</f>
        <v/>
      </c>
    </row>
    <row r="11" customFormat="false" ht="25.5" hidden="false" customHeight="true" outlineLevel="0" collapsed="false">
      <c r="B11" s="31"/>
      <c r="C11" s="31"/>
      <c r="D11" s="32"/>
      <c r="E11" s="32"/>
      <c r="F11" s="33"/>
      <c r="G11" s="33"/>
      <c r="H11" s="33"/>
      <c r="I11" s="33"/>
      <c r="J11" s="33"/>
      <c r="K11" s="33"/>
      <c r="L11" s="34" t="str">
        <f aca="false">IFERROR($G11/$F11,"")</f>
        <v/>
      </c>
      <c r="M11" s="35" t="str">
        <f aca="false">IFERROR($I11/$H11,"")</f>
        <v/>
      </c>
      <c r="N11" s="35" t="str">
        <f aca="false">IFERROR($K11/$J11,"")</f>
        <v/>
      </c>
      <c r="O11" s="34" t="str">
        <f aca="false">IF($C11="","",IFERROR(IF(INDEX(Benchmarks!$I$6:$I$71,MATCH($C11,Benchmarks!$H$6:$H$71,0))="","",INDEX(Benchmarks!$I$6:$I$71,MATCH($C11,Benchmarks!$H$6:$H$71,0))),""))</f>
        <v/>
      </c>
      <c r="P11" s="35" t="str">
        <f aca="false">IF($C11="","",IFERROR(IF(INDEX(Benchmarks!$J$6:$J$71,MATCH($C11,Benchmarks!$H$6:$H$71,0))="","",INDEX(Benchmarks!$J$6:$J$71,MATCH($C11,Benchmarks!$H$6:$H$71,0))),""))</f>
        <v/>
      </c>
      <c r="Q11" s="35" t="str">
        <f aca="false">IF($C11="","",IFERROR(IF(INDEX(Benchmarks!$K$6:$K$71,MATCH($C11,Benchmarks!$H$6:$H$71,0))="","",INDEX(Benchmarks!$K$6:$K$71,MATCH($C11,Benchmarks!$H$6:$H$71,0))),""))</f>
        <v/>
      </c>
      <c r="R11" s="36" t="str">
        <f aca="false">IF(OR($L11="",$O11=""),"",($L11-$O11)*100)</f>
        <v/>
      </c>
      <c r="S11" s="36" t="str">
        <f aca="false">IF(OR($M11="",$P11=""),"",($M11-$P11)*100)</f>
        <v/>
      </c>
      <c r="T11" s="36" t="str">
        <f aca="false">IF(OR($N11="",$Q11=""),"",($N11-$Q11)*100)</f>
        <v/>
      </c>
      <c r="U11" s="37" t="str">
        <f aca="false">IF(OR($L11="",$O11=""),"",IF($F11&lt;Thresholds!$D$7,"THIN",IF($L11&gt;=$O11,"PASS",IF($L11&gt;=$O11*Thresholds!$D$6,"WATCH","MISS"))))</f>
        <v/>
      </c>
      <c r="V11" s="37" t="str">
        <f aca="false">IF(OR($M11="",$P11=""),"",IF($F11&lt;Thresholds!$D$7,"THIN",IF($M11&gt;=$P11,"PASS",IF($M11&gt;=$P11*Thresholds!$D$6,"WATCH","MISS"))))</f>
        <v/>
      </c>
      <c r="W11" s="37" t="str">
        <f aca="false">IF(OR($N11="",$Q11=""),"",IF($F11&lt;Thresholds!$D$7,"THIN",IF($N11&gt;=$Q11,"PASS",IF($N11&gt;=$Q11*Thresholds!$D$6,"WATCH","MISS"))))</f>
        <v/>
      </c>
      <c r="X11" s="38" t="str">
        <f aca="false">IF(COUNTIF($U11:$W11,"MISS")&gt;0,"MISS",IF(COUNTIF($U11:$W11,"WATCH")&gt;0,"WATCH",IF(COUNTIF($U11:$W11,"PASS")&gt;0,"PASS",IF(COUNTIF($U11:$W11,"THIN")&gt;0,"THIN",""))))</f>
        <v/>
      </c>
    </row>
    <row r="12" customFormat="false" ht="25.5" hidden="false" customHeight="true" outlineLevel="0" collapsed="false">
      <c r="B12" s="31"/>
      <c r="C12" s="31"/>
      <c r="D12" s="32"/>
      <c r="E12" s="32"/>
      <c r="F12" s="33"/>
      <c r="G12" s="33"/>
      <c r="H12" s="33"/>
      <c r="I12" s="33"/>
      <c r="J12" s="33"/>
      <c r="K12" s="33"/>
      <c r="L12" s="34" t="str">
        <f aca="false">IFERROR($G12/$F12,"")</f>
        <v/>
      </c>
      <c r="M12" s="35" t="str">
        <f aca="false">IFERROR($I12/$H12,"")</f>
        <v/>
      </c>
      <c r="N12" s="35" t="str">
        <f aca="false">IFERROR($K12/$J12,"")</f>
        <v/>
      </c>
      <c r="O12" s="34" t="str">
        <f aca="false">IF($C12="","",IFERROR(IF(INDEX(Benchmarks!$I$6:$I$71,MATCH($C12,Benchmarks!$H$6:$H$71,0))="","",INDEX(Benchmarks!$I$6:$I$71,MATCH($C12,Benchmarks!$H$6:$H$71,0))),""))</f>
        <v/>
      </c>
      <c r="P12" s="35" t="str">
        <f aca="false">IF($C12="","",IFERROR(IF(INDEX(Benchmarks!$J$6:$J$71,MATCH($C12,Benchmarks!$H$6:$H$71,0))="","",INDEX(Benchmarks!$J$6:$J$71,MATCH($C12,Benchmarks!$H$6:$H$71,0))),""))</f>
        <v/>
      </c>
      <c r="Q12" s="35" t="str">
        <f aca="false">IF($C12="","",IFERROR(IF(INDEX(Benchmarks!$K$6:$K$71,MATCH($C12,Benchmarks!$H$6:$H$71,0))="","",INDEX(Benchmarks!$K$6:$K$71,MATCH($C12,Benchmarks!$H$6:$H$71,0))),""))</f>
        <v/>
      </c>
      <c r="R12" s="36" t="str">
        <f aca="false">IF(OR($L12="",$O12=""),"",($L12-$O12)*100)</f>
        <v/>
      </c>
      <c r="S12" s="36" t="str">
        <f aca="false">IF(OR($M12="",$P12=""),"",($M12-$P12)*100)</f>
        <v/>
      </c>
      <c r="T12" s="36" t="str">
        <f aca="false">IF(OR($N12="",$Q12=""),"",($N12-$Q12)*100)</f>
        <v/>
      </c>
      <c r="U12" s="37" t="str">
        <f aca="false">IF(OR($L12="",$O12=""),"",IF($F12&lt;Thresholds!$D$7,"THIN",IF($L12&gt;=$O12,"PASS",IF($L12&gt;=$O12*Thresholds!$D$6,"WATCH","MISS"))))</f>
        <v/>
      </c>
      <c r="V12" s="37" t="str">
        <f aca="false">IF(OR($M12="",$P12=""),"",IF($F12&lt;Thresholds!$D$7,"THIN",IF($M12&gt;=$P12,"PASS",IF($M12&gt;=$P12*Thresholds!$D$6,"WATCH","MISS"))))</f>
        <v/>
      </c>
      <c r="W12" s="37" t="str">
        <f aca="false">IF(OR($N12="",$Q12=""),"",IF($F12&lt;Thresholds!$D$7,"THIN",IF($N12&gt;=$Q12,"PASS",IF($N12&gt;=$Q12*Thresholds!$D$6,"WATCH","MISS"))))</f>
        <v/>
      </c>
      <c r="X12" s="38" t="str">
        <f aca="false">IF(COUNTIF($U12:$W12,"MISS")&gt;0,"MISS",IF(COUNTIF($U12:$W12,"WATCH")&gt;0,"WATCH",IF(COUNTIF($U12:$W12,"PASS")&gt;0,"PASS",IF(COUNTIF($U12:$W12,"THIN")&gt;0,"THIN",""))))</f>
        <v/>
      </c>
    </row>
    <row r="13" customFormat="false" ht="25.5" hidden="false" customHeight="true" outlineLevel="0" collapsed="false">
      <c r="B13" s="31"/>
      <c r="C13" s="31"/>
      <c r="D13" s="32"/>
      <c r="E13" s="32"/>
      <c r="F13" s="33"/>
      <c r="G13" s="33"/>
      <c r="H13" s="33"/>
      <c r="I13" s="33"/>
      <c r="J13" s="33"/>
      <c r="K13" s="33"/>
      <c r="L13" s="34" t="str">
        <f aca="false">IFERROR($G13/$F13,"")</f>
        <v/>
      </c>
      <c r="M13" s="35" t="str">
        <f aca="false">IFERROR($I13/$H13,"")</f>
        <v/>
      </c>
      <c r="N13" s="35" t="str">
        <f aca="false">IFERROR($K13/$J13,"")</f>
        <v/>
      </c>
      <c r="O13" s="34" t="str">
        <f aca="false">IF($C13="","",IFERROR(IF(INDEX(Benchmarks!$I$6:$I$71,MATCH($C13,Benchmarks!$H$6:$H$71,0))="","",INDEX(Benchmarks!$I$6:$I$71,MATCH($C13,Benchmarks!$H$6:$H$71,0))),""))</f>
        <v/>
      </c>
      <c r="P13" s="35" t="str">
        <f aca="false">IF($C13="","",IFERROR(IF(INDEX(Benchmarks!$J$6:$J$71,MATCH($C13,Benchmarks!$H$6:$H$71,0))="","",INDEX(Benchmarks!$J$6:$J$71,MATCH($C13,Benchmarks!$H$6:$H$71,0))),""))</f>
        <v/>
      </c>
      <c r="Q13" s="35" t="str">
        <f aca="false">IF($C13="","",IFERROR(IF(INDEX(Benchmarks!$K$6:$K$71,MATCH($C13,Benchmarks!$H$6:$H$71,0))="","",INDEX(Benchmarks!$K$6:$K$71,MATCH($C13,Benchmarks!$H$6:$H$71,0))),""))</f>
        <v/>
      </c>
      <c r="R13" s="36" t="str">
        <f aca="false">IF(OR($L13="",$O13=""),"",($L13-$O13)*100)</f>
        <v/>
      </c>
      <c r="S13" s="36" t="str">
        <f aca="false">IF(OR($M13="",$P13=""),"",($M13-$P13)*100)</f>
        <v/>
      </c>
      <c r="T13" s="36" t="str">
        <f aca="false">IF(OR($N13="",$Q13=""),"",($N13-$Q13)*100)</f>
        <v/>
      </c>
      <c r="U13" s="37" t="str">
        <f aca="false">IF(OR($L13="",$O13=""),"",IF($F13&lt;Thresholds!$D$7,"THIN",IF($L13&gt;=$O13,"PASS",IF($L13&gt;=$O13*Thresholds!$D$6,"WATCH","MISS"))))</f>
        <v/>
      </c>
      <c r="V13" s="37" t="str">
        <f aca="false">IF(OR($M13="",$P13=""),"",IF($F13&lt;Thresholds!$D$7,"THIN",IF($M13&gt;=$P13,"PASS",IF($M13&gt;=$P13*Thresholds!$D$6,"WATCH","MISS"))))</f>
        <v/>
      </c>
      <c r="W13" s="37" t="str">
        <f aca="false">IF(OR($N13="",$Q13=""),"",IF($F13&lt;Thresholds!$D$7,"THIN",IF($N13&gt;=$Q13,"PASS",IF($N13&gt;=$Q13*Thresholds!$D$6,"WATCH","MISS"))))</f>
        <v/>
      </c>
      <c r="X13" s="38" t="str">
        <f aca="false">IF(COUNTIF($U13:$W13,"MISS")&gt;0,"MISS",IF(COUNTIF($U13:$W13,"WATCH")&gt;0,"WATCH",IF(COUNTIF($U13:$W13,"PASS")&gt;0,"PASS",IF(COUNTIF($U13:$W13,"THIN")&gt;0,"THIN",""))))</f>
        <v/>
      </c>
    </row>
    <row r="14" customFormat="false" ht="25.5" hidden="false" customHeight="true" outlineLevel="0" collapsed="false">
      <c r="B14" s="31"/>
      <c r="C14" s="31"/>
      <c r="D14" s="32"/>
      <c r="E14" s="32"/>
      <c r="F14" s="33"/>
      <c r="G14" s="33"/>
      <c r="H14" s="33"/>
      <c r="I14" s="33"/>
      <c r="J14" s="33"/>
      <c r="K14" s="33"/>
      <c r="L14" s="34" t="str">
        <f aca="false">IFERROR($G14/$F14,"")</f>
        <v/>
      </c>
      <c r="M14" s="35" t="str">
        <f aca="false">IFERROR($I14/$H14,"")</f>
        <v/>
      </c>
      <c r="N14" s="35" t="str">
        <f aca="false">IFERROR($K14/$J14,"")</f>
        <v/>
      </c>
      <c r="O14" s="34" t="str">
        <f aca="false">IF($C14="","",IFERROR(IF(INDEX(Benchmarks!$I$6:$I$71,MATCH($C14,Benchmarks!$H$6:$H$71,0))="","",INDEX(Benchmarks!$I$6:$I$71,MATCH($C14,Benchmarks!$H$6:$H$71,0))),""))</f>
        <v/>
      </c>
      <c r="P14" s="35" t="str">
        <f aca="false">IF($C14="","",IFERROR(IF(INDEX(Benchmarks!$J$6:$J$71,MATCH($C14,Benchmarks!$H$6:$H$71,0))="","",INDEX(Benchmarks!$J$6:$J$71,MATCH($C14,Benchmarks!$H$6:$H$71,0))),""))</f>
        <v/>
      </c>
      <c r="Q14" s="35" t="str">
        <f aca="false">IF($C14="","",IFERROR(IF(INDEX(Benchmarks!$K$6:$K$71,MATCH($C14,Benchmarks!$H$6:$H$71,0))="","",INDEX(Benchmarks!$K$6:$K$71,MATCH($C14,Benchmarks!$H$6:$H$71,0))),""))</f>
        <v/>
      </c>
      <c r="R14" s="36" t="str">
        <f aca="false">IF(OR($L14="",$O14=""),"",($L14-$O14)*100)</f>
        <v/>
      </c>
      <c r="S14" s="36" t="str">
        <f aca="false">IF(OR($M14="",$P14=""),"",($M14-$P14)*100)</f>
        <v/>
      </c>
      <c r="T14" s="36" t="str">
        <f aca="false">IF(OR($N14="",$Q14=""),"",($N14-$Q14)*100)</f>
        <v/>
      </c>
      <c r="U14" s="37" t="str">
        <f aca="false">IF(OR($L14="",$O14=""),"",IF($F14&lt;Thresholds!$D$7,"THIN",IF($L14&gt;=$O14,"PASS",IF($L14&gt;=$O14*Thresholds!$D$6,"WATCH","MISS"))))</f>
        <v/>
      </c>
      <c r="V14" s="37" t="str">
        <f aca="false">IF(OR($M14="",$P14=""),"",IF($F14&lt;Thresholds!$D$7,"THIN",IF($M14&gt;=$P14,"PASS",IF($M14&gt;=$P14*Thresholds!$D$6,"WATCH","MISS"))))</f>
        <v/>
      </c>
      <c r="W14" s="37" t="str">
        <f aca="false">IF(OR($N14="",$Q14=""),"",IF($F14&lt;Thresholds!$D$7,"THIN",IF($N14&gt;=$Q14,"PASS",IF($N14&gt;=$Q14*Thresholds!$D$6,"WATCH","MISS"))))</f>
        <v/>
      </c>
      <c r="X14" s="38" t="str">
        <f aca="false">IF(COUNTIF($U14:$W14,"MISS")&gt;0,"MISS",IF(COUNTIF($U14:$W14,"WATCH")&gt;0,"WATCH",IF(COUNTIF($U14:$W14,"PASS")&gt;0,"PASS",IF(COUNTIF($U14:$W14,"THIN")&gt;0,"THIN",""))))</f>
        <v/>
      </c>
    </row>
    <row r="15" customFormat="false" ht="25.5" hidden="false" customHeight="true" outlineLevel="0" collapsed="false">
      <c r="B15" s="31"/>
      <c r="C15" s="31"/>
      <c r="D15" s="32"/>
      <c r="E15" s="32"/>
      <c r="F15" s="33"/>
      <c r="G15" s="33"/>
      <c r="H15" s="33"/>
      <c r="I15" s="33"/>
      <c r="J15" s="33"/>
      <c r="K15" s="33"/>
      <c r="L15" s="34" t="str">
        <f aca="false">IFERROR($G15/$F15,"")</f>
        <v/>
      </c>
      <c r="M15" s="35" t="str">
        <f aca="false">IFERROR($I15/$H15,"")</f>
        <v/>
      </c>
      <c r="N15" s="35" t="str">
        <f aca="false">IFERROR($K15/$J15,"")</f>
        <v/>
      </c>
      <c r="O15" s="34" t="str">
        <f aca="false">IF($C15="","",IFERROR(IF(INDEX(Benchmarks!$I$6:$I$71,MATCH($C15,Benchmarks!$H$6:$H$71,0))="","",INDEX(Benchmarks!$I$6:$I$71,MATCH($C15,Benchmarks!$H$6:$H$71,0))),""))</f>
        <v/>
      </c>
      <c r="P15" s="35" t="str">
        <f aca="false">IF($C15="","",IFERROR(IF(INDEX(Benchmarks!$J$6:$J$71,MATCH($C15,Benchmarks!$H$6:$H$71,0))="","",INDEX(Benchmarks!$J$6:$J$71,MATCH($C15,Benchmarks!$H$6:$H$71,0))),""))</f>
        <v/>
      </c>
      <c r="Q15" s="35" t="str">
        <f aca="false">IF($C15="","",IFERROR(IF(INDEX(Benchmarks!$K$6:$K$71,MATCH($C15,Benchmarks!$H$6:$H$71,0))="","",INDEX(Benchmarks!$K$6:$K$71,MATCH($C15,Benchmarks!$H$6:$H$71,0))),""))</f>
        <v/>
      </c>
      <c r="R15" s="36" t="str">
        <f aca="false">IF(OR($L15="",$O15=""),"",($L15-$O15)*100)</f>
        <v/>
      </c>
      <c r="S15" s="36" t="str">
        <f aca="false">IF(OR($M15="",$P15=""),"",($M15-$P15)*100)</f>
        <v/>
      </c>
      <c r="T15" s="36" t="str">
        <f aca="false">IF(OR($N15="",$Q15=""),"",($N15-$Q15)*100)</f>
        <v/>
      </c>
      <c r="U15" s="37" t="str">
        <f aca="false">IF(OR($L15="",$O15=""),"",IF($F15&lt;Thresholds!$D$7,"THIN",IF($L15&gt;=$O15,"PASS",IF($L15&gt;=$O15*Thresholds!$D$6,"WATCH","MISS"))))</f>
        <v/>
      </c>
      <c r="V15" s="37" t="str">
        <f aca="false">IF(OR($M15="",$P15=""),"",IF($F15&lt;Thresholds!$D$7,"THIN",IF($M15&gt;=$P15,"PASS",IF($M15&gt;=$P15*Thresholds!$D$6,"WATCH","MISS"))))</f>
        <v/>
      </c>
      <c r="W15" s="37" t="str">
        <f aca="false">IF(OR($N15="",$Q15=""),"",IF($F15&lt;Thresholds!$D$7,"THIN",IF($N15&gt;=$Q15,"PASS",IF($N15&gt;=$Q15*Thresholds!$D$6,"WATCH","MISS"))))</f>
        <v/>
      </c>
      <c r="X15" s="38" t="str">
        <f aca="false">IF(COUNTIF($U15:$W15,"MISS")&gt;0,"MISS",IF(COUNTIF($U15:$W15,"WATCH")&gt;0,"WATCH",IF(COUNTIF($U15:$W15,"PASS")&gt;0,"PASS",IF(COUNTIF($U15:$W15,"THIN")&gt;0,"THIN",""))))</f>
        <v/>
      </c>
    </row>
    <row r="16" customFormat="false" ht="25.5" hidden="false" customHeight="true" outlineLevel="0" collapsed="false">
      <c r="B16" s="31"/>
      <c r="C16" s="31"/>
      <c r="D16" s="32"/>
      <c r="E16" s="32"/>
      <c r="F16" s="33"/>
      <c r="G16" s="33"/>
      <c r="H16" s="33"/>
      <c r="I16" s="33"/>
      <c r="J16" s="33"/>
      <c r="K16" s="33"/>
      <c r="L16" s="34" t="str">
        <f aca="false">IFERROR($G16/$F16,"")</f>
        <v/>
      </c>
      <c r="M16" s="35" t="str">
        <f aca="false">IFERROR($I16/$H16,"")</f>
        <v/>
      </c>
      <c r="N16" s="35" t="str">
        <f aca="false">IFERROR($K16/$J16,"")</f>
        <v/>
      </c>
      <c r="O16" s="34" t="str">
        <f aca="false">IF($C16="","",IFERROR(IF(INDEX(Benchmarks!$I$6:$I$71,MATCH($C16,Benchmarks!$H$6:$H$71,0))="","",INDEX(Benchmarks!$I$6:$I$71,MATCH($C16,Benchmarks!$H$6:$H$71,0))),""))</f>
        <v/>
      </c>
      <c r="P16" s="35" t="str">
        <f aca="false">IF($C16="","",IFERROR(IF(INDEX(Benchmarks!$J$6:$J$71,MATCH($C16,Benchmarks!$H$6:$H$71,0))="","",INDEX(Benchmarks!$J$6:$J$71,MATCH($C16,Benchmarks!$H$6:$H$71,0))),""))</f>
        <v/>
      </c>
      <c r="Q16" s="35" t="str">
        <f aca="false">IF($C16="","",IFERROR(IF(INDEX(Benchmarks!$K$6:$K$71,MATCH($C16,Benchmarks!$H$6:$H$71,0))="","",INDEX(Benchmarks!$K$6:$K$71,MATCH($C16,Benchmarks!$H$6:$H$71,0))),""))</f>
        <v/>
      </c>
      <c r="R16" s="36" t="str">
        <f aca="false">IF(OR($L16="",$O16=""),"",($L16-$O16)*100)</f>
        <v/>
      </c>
      <c r="S16" s="36" t="str">
        <f aca="false">IF(OR($M16="",$P16=""),"",($M16-$P16)*100)</f>
        <v/>
      </c>
      <c r="T16" s="36" t="str">
        <f aca="false">IF(OR($N16="",$Q16=""),"",($N16-$Q16)*100)</f>
        <v/>
      </c>
      <c r="U16" s="37" t="str">
        <f aca="false">IF(OR($L16="",$O16=""),"",IF($F16&lt;Thresholds!$D$7,"THIN",IF($L16&gt;=$O16,"PASS",IF($L16&gt;=$O16*Thresholds!$D$6,"WATCH","MISS"))))</f>
        <v/>
      </c>
      <c r="V16" s="37" t="str">
        <f aca="false">IF(OR($M16="",$P16=""),"",IF($F16&lt;Thresholds!$D$7,"THIN",IF($M16&gt;=$P16,"PASS",IF($M16&gt;=$P16*Thresholds!$D$6,"WATCH","MISS"))))</f>
        <v/>
      </c>
      <c r="W16" s="37" t="str">
        <f aca="false">IF(OR($N16="",$Q16=""),"",IF($F16&lt;Thresholds!$D$7,"THIN",IF($N16&gt;=$Q16,"PASS",IF($N16&gt;=$Q16*Thresholds!$D$6,"WATCH","MISS"))))</f>
        <v/>
      </c>
      <c r="X16" s="38" t="str">
        <f aca="false">IF(COUNTIF($U16:$W16,"MISS")&gt;0,"MISS",IF(COUNTIF($U16:$W16,"WATCH")&gt;0,"WATCH",IF(COUNTIF($U16:$W16,"PASS")&gt;0,"PASS",IF(COUNTIF($U16:$W16,"THIN")&gt;0,"THIN",""))))</f>
        <v/>
      </c>
    </row>
    <row r="17" customFormat="false" ht="25.5" hidden="false" customHeight="true" outlineLevel="0" collapsed="false">
      <c r="B17" s="31"/>
      <c r="C17" s="31"/>
      <c r="D17" s="32"/>
      <c r="E17" s="32"/>
      <c r="F17" s="33"/>
      <c r="G17" s="33"/>
      <c r="H17" s="33"/>
      <c r="I17" s="33"/>
      <c r="J17" s="33"/>
      <c r="K17" s="33"/>
      <c r="L17" s="34" t="str">
        <f aca="false">IFERROR($G17/$F17,"")</f>
        <v/>
      </c>
      <c r="M17" s="35" t="str">
        <f aca="false">IFERROR($I17/$H17,"")</f>
        <v/>
      </c>
      <c r="N17" s="35" t="str">
        <f aca="false">IFERROR($K17/$J17,"")</f>
        <v/>
      </c>
      <c r="O17" s="34" t="str">
        <f aca="false">IF($C17="","",IFERROR(IF(INDEX(Benchmarks!$I$6:$I$71,MATCH($C17,Benchmarks!$H$6:$H$71,0))="","",INDEX(Benchmarks!$I$6:$I$71,MATCH($C17,Benchmarks!$H$6:$H$71,0))),""))</f>
        <v/>
      </c>
      <c r="P17" s="35" t="str">
        <f aca="false">IF($C17="","",IFERROR(IF(INDEX(Benchmarks!$J$6:$J$71,MATCH($C17,Benchmarks!$H$6:$H$71,0))="","",INDEX(Benchmarks!$J$6:$J$71,MATCH($C17,Benchmarks!$H$6:$H$71,0))),""))</f>
        <v/>
      </c>
      <c r="Q17" s="35" t="str">
        <f aca="false">IF($C17="","",IFERROR(IF(INDEX(Benchmarks!$K$6:$K$71,MATCH($C17,Benchmarks!$H$6:$H$71,0))="","",INDEX(Benchmarks!$K$6:$K$71,MATCH($C17,Benchmarks!$H$6:$H$71,0))),""))</f>
        <v/>
      </c>
      <c r="R17" s="36" t="str">
        <f aca="false">IF(OR($L17="",$O17=""),"",($L17-$O17)*100)</f>
        <v/>
      </c>
      <c r="S17" s="36" t="str">
        <f aca="false">IF(OR($M17="",$P17=""),"",($M17-$P17)*100)</f>
        <v/>
      </c>
      <c r="T17" s="36" t="str">
        <f aca="false">IF(OR($N17="",$Q17=""),"",($N17-$Q17)*100)</f>
        <v/>
      </c>
      <c r="U17" s="37" t="str">
        <f aca="false">IF(OR($L17="",$O17=""),"",IF($F17&lt;Thresholds!$D$7,"THIN",IF($L17&gt;=$O17,"PASS",IF($L17&gt;=$O17*Thresholds!$D$6,"WATCH","MISS"))))</f>
        <v/>
      </c>
      <c r="V17" s="37" t="str">
        <f aca="false">IF(OR($M17="",$P17=""),"",IF($F17&lt;Thresholds!$D$7,"THIN",IF($M17&gt;=$P17,"PASS",IF($M17&gt;=$P17*Thresholds!$D$6,"WATCH","MISS"))))</f>
        <v/>
      </c>
      <c r="W17" s="37" t="str">
        <f aca="false">IF(OR($N17="",$Q17=""),"",IF($F17&lt;Thresholds!$D$7,"THIN",IF($N17&gt;=$Q17,"PASS",IF($N17&gt;=$Q17*Thresholds!$D$6,"WATCH","MISS"))))</f>
        <v/>
      </c>
      <c r="X17" s="38" t="str">
        <f aca="false">IF(COUNTIF($U17:$W17,"MISS")&gt;0,"MISS",IF(COUNTIF($U17:$W17,"WATCH")&gt;0,"WATCH",IF(COUNTIF($U17:$W17,"PASS")&gt;0,"PASS",IF(COUNTIF($U17:$W17,"THIN")&gt;0,"THIN",""))))</f>
        <v/>
      </c>
    </row>
    <row r="18" customFormat="false" ht="25.5" hidden="false" customHeight="true" outlineLevel="0" collapsed="false">
      <c r="B18" s="31"/>
      <c r="C18" s="31"/>
      <c r="D18" s="32"/>
      <c r="E18" s="32"/>
      <c r="F18" s="33"/>
      <c r="G18" s="33"/>
      <c r="H18" s="33"/>
      <c r="I18" s="33"/>
      <c r="J18" s="33"/>
      <c r="K18" s="33"/>
      <c r="L18" s="34" t="str">
        <f aca="false">IFERROR($G18/$F18,"")</f>
        <v/>
      </c>
      <c r="M18" s="35" t="str">
        <f aca="false">IFERROR($I18/$H18,"")</f>
        <v/>
      </c>
      <c r="N18" s="35" t="str">
        <f aca="false">IFERROR($K18/$J18,"")</f>
        <v/>
      </c>
      <c r="O18" s="34" t="str">
        <f aca="false">IF($C18="","",IFERROR(IF(INDEX(Benchmarks!$I$6:$I$71,MATCH($C18,Benchmarks!$H$6:$H$71,0))="","",INDEX(Benchmarks!$I$6:$I$71,MATCH($C18,Benchmarks!$H$6:$H$71,0))),""))</f>
        <v/>
      </c>
      <c r="P18" s="35" t="str">
        <f aca="false">IF($C18="","",IFERROR(IF(INDEX(Benchmarks!$J$6:$J$71,MATCH($C18,Benchmarks!$H$6:$H$71,0))="","",INDEX(Benchmarks!$J$6:$J$71,MATCH($C18,Benchmarks!$H$6:$H$71,0))),""))</f>
        <v/>
      </c>
      <c r="Q18" s="35" t="str">
        <f aca="false">IF($C18="","",IFERROR(IF(INDEX(Benchmarks!$K$6:$K$71,MATCH($C18,Benchmarks!$H$6:$H$71,0))="","",INDEX(Benchmarks!$K$6:$K$71,MATCH($C18,Benchmarks!$H$6:$H$71,0))),""))</f>
        <v/>
      </c>
      <c r="R18" s="36" t="str">
        <f aca="false">IF(OR($L18="",$O18=""),"",($L18-$O18)*100)</f>
        <v/>
      </c>
      <c r="S18" s="36" t="str">
        <f aca="false">IF(OR($M18="",$P18=""),"",($M18-$P18)*100)</f>
        <v/>
      </c>
      <c r="T18" s="36" t="str">
        <f aca="false">IF(OR($N18="",$Q18=""),"",($N18-$Q18)*100)</f>
        <v/>
      </c>
      <c r="U18" s="37" t="str">
        <f aca="false">IF(OR($L18="",$O18=""),"",IF($F18&lt;Thresholds!$D$7,"THIN",IF($L18&gt;=$O18,"PASS",IF($L18&gt;=$O18*Thresholds!$D$6,"WATCH","MISS"))))</f>
        <v/>
      </c>
      <c r="V18" s="37" t="str">
        <f aca="false">IF(OR($M18="",$P18=""),"",IF($F18&lt;Thresholds!$D$7,"THIN",IF($M18&gt;=$P18,"PASS",IF($M18&gt;=$P18*Thresholds!$D$6,"WATCH","MISS"))))</f>
        <v/>
      </c>
      <c r="W18" s="37" t="str">
        <f aca="false">IF(OR($N18="",$Q18=""),"",IF($F18&lt;Thresholds!$D$7,"THIN",IF($N18&gt;=$Q18,"PASS",IF($N18&gt;=$Q18*Thresholds!$D$6,"WATCH","MISS"))))</f>
        <v/>
      </c>
      <c r="X18" s="38" t="str">
        <f aca="false">IF(COUNTIF($U18:$W18,"MISS")&gt;0,"MISS",IF(COUNTIF($U18:$W18,"WATCH")&gt;0,"WATCH",IF(COUNTIF($U18:$W18,"PASS")&gt;0,"PASS",IF(COUNTIF($U18:$W18,"THIN")&gt;0,"THIN",""))))</f>
        <v/>
      </c>
    </row>
    <row r="19" customFormat="false" ht="25.5" hidden="false" customHeight="true" outlineLevel="0" collapsed="false">
      <c r="B19" s="31"/>
      <c r="C19" s="31"/>
      <c r="D19" s="32"/>
      <c r="E19" s="32"/>
      <c r="F19" s="33"/>
      <c r="G19" s="33"/>
      <c r="H19" s="33"/>
      <c r="I19" s="33"/>
      <c r="J19" s="33"/>
      <c r="K19" s="33"/>
      <c r="L19" s="34" t="str">
        <f aca="false">IFERROR($G19/$F19,"")</f>
        <v/>
      </c>
      <c r="M19" s="35" t="str">
        <f aca="false">IFERROR($I19/$H19,"")</f>
        <v/>
      </c>
      <c r="N19" s="35" t="str">
        <f aca="false">IFERROR($K19/$J19,"")</f>
        <v/>
      </c>
      <c r="O19" s="34" t="str">
        <f aca="false">IF($C19="","",IFERROR(IF(INDEX(Benchmarks!$I$6:$I$71,MATCH($C19,Benchmarks!$H$6:$H$71,0))="","",INDEX(Benchmarks!$I$6:$I$71,MATCH($C19,Benchmarks!$H$6:$H$71,0))),""))</f>
        <v/>
      </c>
      <c r="P19" s="35" t="str">
        <f aca="false">IF($C19="","",IFERROR(IF(INDEX(Benchmarks!$J$6:$J$71,MATCH($C19,Benchmarks!$H$6:$H$71,0))="","",INDEX(Benchmarks!$J$6:$J$71,MATCH($C19,Benchmarks!$H$6:$H$71,0))),""))</f>
        <v/>
      </c>
      <c r="Q19" s="35" t="str">
        <f aca="false">IF($C19="","",IFERROR(IF(INDEX(Benchmarks!$K$6:$K$71,MATCH($C19,Benchmarks!$H$6:$H$71,0))="","",INDEX(Benchmarks!$K$6:$K$71,MATCH($C19,Benchmarks!$H$6:$H$71,0))),""))</f>
        <v/>
      </c>
      <c r="R19" s="36" t="str">
        <f aca="false">IF(OR($L19="",$O19=""),"",($L19-$O19)*100)</f>
        <v/>
      </c>
      <c r="S19" s="36" t="str">
        <f aca="false">IF(OR($M19="",$P19=""),"",($M19-$P19)*100)</f>
        <v/>
      </c>
      <c r="T19" s="36" t="str">
        <f aca="false">IF(OR($N19="",$Q19=""),"",($N19-$Q19)*100)</f>
        <v/>
      </c>
      <c r="U19" s="37" t="str">
        <f aca="false">IF(OR($L19="",$O19=""),"",IF($F19&lt;Thresholds!$D$7,"THIN",IF($L19&gt;=$O19,"PASS",IF($L19&gt;=$O19*Thresholds!$D$6,"WATCH","MISS"))))</f>
        <v/>
      </c>
      <c r="V19" s="37" t="str">
        <f aca="false">IF(OR($M19="",$P19=""),"",IF($F19&lt;Thresholds!$D$7,"THIN",IF($M19&gt;=$P19,"PASS",IF($M19&gt;=$P19*Thresholds!$D$6,"WATCH","MISS"))))</f>
        <v/>
      </c>
      <c r="W19" s="37" t="str">
        <f aca="false">IF(OR($N19="",$Q19=""),"",IF($F19&lt;Thresholds!$D$7,"THIN",IF($N19&gt;=$Q19,"PASS",IF($N19&gt;=$Q19*Thresholds!$D$6,"WATCH","MISS"))))</f>
        <v/>
      </c>
      <c r="X19" s="38" t="str">
        <f aca="false">IF(COUNTIF($U19:$W19,"MISS")&gt;0,"MISS",IF(COUNTIF($U19:$W19,"WATCH")&gt;0,"WATCH",IF(COUNTIF($U19:$W19,"PASS")&gt;0,"PASS",IF(COUNTIF($U19:$W19,"THIN")&gt;0,"THIN",""))))</f>
        <v/>
      </c>
    </row>
    <row r="20" customFormat="false" ht="25.5" hidden="false" customHeight="true" outlineLevel="0" collapsed="false">
      <c r="B20" s="31"/>
      <c r="C20" s="31"/>
      <c r="D20" s="32"/>
      <c r="E20" s="32"/>
      <c r="F20" s="33"/>
      <c r="G20" s="33"/>
      <c r="H20" s="33"/>
      <c r="I20" s="33"/>
      <c r="J20" s="33"/>
      <c r="K20" s="33"/>
      <c r="L20" s="34" t="str">
        <f aca="false">IFERROR($G20/$F20,"")</f>
        <v/>
      </c>
      <c r="M20" s="35" t="str">
        <f aca="false">IFERROR($I20/$H20,"")</f>
        <v/>
      </c>
      <c r="N20" s="35" t="str">
        <f aca="false">IFERROR($K20/$J20,"")</f>
        <v/>
      </c>
      <c r="O20" s="34" t="str">
        <f aca="false">IF($C20="","",IFERROR(IF(INDEX(Benchmarks!$I$6:$I$71,MATCH($C20,Benchmarks!$H$6:$H$71,0))="","",INDEX(Benchmarks!$I$6:$I$71,MATCH($C20,Benchmarks!$H$6:$H$71,0))),""))</f>
        <v/>
      </c>
      <c r="P20" s="35" t="str">
        <f aca="false">IF($C20="","",IFERROR(IF(INDEX(Benchmarks!$J$6:$J$71,MATCH($C20,Benchmarks!$H$6:$H$71,0))="","",INDEX(Benchmarks!$J$6:$J$71,MATCH($C20,Benchmarks!$H$6:$H$71,0))),""))</f>
        <v/>
      </c>
      <c r="Q20" s="35" t="str">
        <f aca="false">IF($C20="","",IFERROR(IF(INDEX(Benchmarks!$K$6:$K$71,MATCH($C20,Benchmarks!$H$6:$H$71,0))="","",INDEX(Benchmarks!$K$6:$K$71,MATCH($C20,Benchmarks!$H$6:$H$71,0))),""))</f>
        <v/>
      </c>
      <c r="R20" s="36" t="str">
        <f aca="false">IF(OR($L20="",$O20=""),"",($L20-$O20)*100)</f>
        <v/>
      </c>
      <c r="S20" s="36" t="str">
        <f aca="false">IF(OR($M20="",$P20=""),"",($M20-$P20)*100)</f>
        <v/>
      </c>
      <c r="T20" s="36" t="str">
        <f aca="false">IF(OR($N20="",$Q20=""),"",($N20-$Q20)*100)</f>
        <v/>
      </c>
      <c r="U20" s="37" t="str">
        <f aca="false">IF(OR($L20="",$O20=""),"",IF($F20&lt;Thresholds!$D$7,"THIN",IF($L20&gt;=$O20,"PASS",IF($L20&gt;=$O20*Thresholds!$D$6,"WATCH","MISS"))))</f>
        <v/>
      </c>
      <c r="V20" s="37" t="str">
        <f aca="false">IF(OR($M20="",$P20=""),"",IF($F20&lt;Thresholds!$D$7,"THIN",IF($M20&gt;=$P20,"PASS",IF($M20&gt;=$P20*Thresholds!$D$6,"WATCH","MISS"))))</f>
        <v/>
      </c>
      <c r="W20" s="37" t="str">
        <f aca="false">IF(OR($N20="",$Q20=""),"",IF($F20&lt;Thresholds!$D$7,"THIN",IF($N20&gt;=$Q20,"PASS",IF($N20&gt;=$Q20*Thresholds!$D$6,"WATCH","MISS"))))</f>
        <v/>
      </c>
      <c r="X20" s="38" t="str">
        <f aca="false">IF(COUNTIF($U20:$W20,"MISS")&gt;0,"MISS",IF(COUNTIF($U20:$W20,"WATCH")&gt;0,"WATCH",IF(COUNTIF($U20:$W20,"PASS")&gt;0,"PASS",IF(COUNTIF($U20:$W20,"THIN")&gt;0,"THIN",""))))</f>
        <v/>
      </c>
    </row>
    <row r="21" customFormat="false" ht="25.5" hidden="false" customHeight="true" outlineLevel="0" collapsed="false">
      <c r="B21" s="31"/>
      <c r="C21" s="31"/>
      <c r="D21" s="32"/>
      <c r="E21" s="32"/>
      <c r="F21" s="33"/>
      <c r="G21" s="33"/>
      <c r="H21" s="33"/>
      <c r="I21" s="33"/>
      <c r="J21" s="33"/>
      <c r="K21" s="33"/>
      <c r="L21" s="34" t="str">
        <f aca="false">IFERROR($G21/$F21,"")</f>
        <v/>
      </c>
      <c r="M21" s="35" t="str">
        <f aca="false">IFERROR($I21/$H21,"")</f>
        <v/>
      </c>
      <c r="N21" s="35" t="str">
        <f aca="false">IFERROR($K21/$J21,"")</f>
        <v/>
      </c>
      <c r="O21" s="34" t="str">
        <f aca="false">IF($C21="","",IFERROR(IF(INDEX(Benchmarks!$I$6:$I$71,MATCH($C21,Benchmarks!$H$6:$H$71,0))="","",INDEX(Benchmarks!$I$6:$I$71,MATCH($C21,Benchmarks!$H$6:$H$71,0))),""))</f>
        <v/>
      </c>
      <c r="P21" s="35" t="str">
        <f aca="false">IF($C21="","",IFERROR(IF(INDEX(Benchmarks!$J$6:$J$71,MATCH($C21,Benchmarks!$H$6:$H$71,0))="","",INDEX(Benchmarks!$J$6:$J$71,MATCH($C21,Benchmarks!$H$6:$H$71,0))),""))</f>
        <v/>
      </c>
      <c r="Q21" s="35" t="str">
        <f aca="false">IF($C21="","",IFERROR(IF(INDEX(Benchmarks!$K$6:$K$71,MATCH($C21,Benchmarks!$H$6:$H$71,0))="","",INDEX(Benchmarks!$K$6:$K$71,MATCH($C21,Benchmarks!$H$6:$H$71,0))),""))</f>
        <v/>
      </c>
      <c r="R21" s="36" t="str">
        <f aca="false">IF(OR($L21="",$O21=""),"",($L21-$O21)*100)</f>
        <v/>
      </c>
      <c r="S21" s="36" t="str">
        <f aca="false">IF(OR($M21="",$P21=""),"",($M21-$P21)*100)</f>
        <v/>
      </c>
      <c r="T21" s="36" t="str">
        <f aca="false">IF(OR($N21="",$Q21=""),"",($N21-$Q21)*100)</f>
        <v/>
      </c>
      <c r="U21" s="37" t="str">
        <f aca="false">IF(OR($L21="",$O21=""),"",IF($F21&lt;Thresholds!$D$7,"THIN",IF($L21&gt;=$O21,"PASS",IF($L21&gt;=$O21*Thresholds!$D$6,"WATCH","MISS"))))</f>
        <v/>
      </c>
      <c r="V21" s="37" t="str">
        <f aca="false">IF(OR($M21="",$P21=""),"",IF($F21&lt;Thresholds!$D$7,"THIN",IF($M21&gt;=$P21,"PASS",IF($M21&gt;=$P21*Thresholds!$D$6,"WATCH","MISS"))))</f>
        <v/>
      </c>
      <c r="W21" s="37" t="str">
        <f aca="false">IF(OR($N21="",$Q21=""),"",IF($F21&lt;Thresholds!$D$7,"THIN",IF($N21&gt;=$Q21,"PASS",IF($N21&gt;=$Q21*Thresholds!$D$6,"WATCH","MISS"))))</f>
        <v/>
      </c>
      <c r="X21" s="38" t="str">
        <f aca="false">IF(COUNTIF($U21:$W21,"MISS")&gt;0,"MISS",IF(COUNTIF($U21:$W21,"WATCH")&gt;0,"WATCH",IF(COUNTIF($U21:$W21,"PASS")&gt;0,"PASS",IF(COUNTIF($U21:$W21,"THIN")&gt;0,"THIN",""))))</f>
        <v/>
      </c>
    </row>
    <row r="22" customFormat="false" ht="25.5" hidden="false" customHeight="true" outlineLevel="0" collapsed="false">
      <c r="B22" s="31"/>
      <c r="C22" s="31"/>
      <c r="D22" s="32"/>
      <c r="E22" s="32"/>
      <c r="F22" s="33"/>
      <c r="G22" s="33"/>
      <c r="H22" s="33"/>
      <c r="I22" s="33"/>
      <c r="J22" s="33"/>
      <c r="K22" s="33"/>
      <c r="L22" s="34" t="str">
        <f aca="false">IFERROR($G22/$F22,"")</f>
        <v/>
      </c>
      <c r="M22" s="35" t="str">
        <f aca="false">IFERROR($I22/$H22,"")</f>
        <v/>
      </c>
      <c r="N22" s="35" t="str">
        <f aca="false">IFERROR($K22/$J22,"")</f>
        <v/>
      </c>
      <c r="O22" s="34" t="str">
        <f aca="false">IF($C22="","",IFERROR(IF(INDEX(Benchmarks!$I$6:$I$71,MATCH($C22,Benchmarks!$H$6:$H$71,0))="","",INDEX(Benchmarks!$I$6:$I$71,MATCH($C22,Benchmarks!$H$6:$H$71,0))),""))</f>
        <v/>
      </c>
      <c r="P22" s="35" t="str">
        <f aca="false">IF($C22="","",IFERROR(IF(INDEX(Benchmarks!$J$6:$J$71,MATCH($C22,Benchmarks!$H$6:$H$71,0))="","",INDEX(Benchmarks!$J$6:$J$71,MATCH($C22,Benchmarks!$H$6:$H$71,0))),""))</f>
        <v/>
      </c>
      <c r="Q22" s="35" t="str">
        <f aca="false">IF($C22="","",IFERROR(IF(INDEX(Benchmarks!$K$6:$K$71,MATCH($C22,Benchmarks!$H$6:$H$71,0))="","",INDEX(Benchmarks!$K$6:$K$71,MATCH($C22,Benchmarks!$H$6:$H$71,0))),""))</f>
        <v/>
      </c>
      <c r="R22" s="36" t="str">
        <f aca="false">IF(OR($L22="",$O22=""),"",($L22-$O22)*100)</f>
        <v/>
      </c>
      <c r="S22" s="36" t="str">
        <f aca="false">IF(OR($M22="",$P22=""),"",($M22-$P22)*100)</f>
        <v/>
      </c>
      <c r="T22" s="36" t="str">
        <f aca="false">IF(OR($N22="",$Q22=""),"",($N22-$Q22)*100)</f>
        <v/>
      </c>
      <c r="U22" s="37" t="str">
        <f aca="false">IF(OR($L22="",$O22=""),"",IF($F22&lt;Thresholds!$D$7,"THIN",IF($L22&gt;=$O22,"PASS",IF($L22&gt;=$O22*Thresholds!$D$6,"WATCH","MISS"))))</f>
        <v/>
      </c>
      <c r="V22" s="37" t="str">
        <f aca="false">IF(OR($M22="",$P22=""),"",IF($F22&lt;Thresholds!$D$7,"THIN",IF($M22&gt;=$P22,"PASS",IF($M22&gt;=$P22*Thresholds!$D$6,"WATCH","MISS"))))</f>
        <v/>
      </c>
      <c r="W22" s="37" t="str">
        <f aca="false">IF(OR($N22="",$Q22=""),"",IF($F22&lt;Thresholds!$D$7,"THIN",IF($N22&gt;=$Q22,"PASS",IF($N22&gt;=$Q22*Thresholds!$D$6,"WATCH","MISS"))))</f>
        <v/>
      </c>
      <c r="X22" s="38" t="str">
        <f aca="false">IF(COUNTIF($U22:$W22,"MISS")&gt;0,"MISS",IF(COUNTIF($U22:$W22,"WATCH")&gt;0,"WATCH",IF(COUNTIF($U22:$W22,"PASS")&gt;0,"PASS",IF(COUNTIF($U22:$W22,"THIN")&gt;0,"THIN",""))))</f>
        <v/>
      </c>
    </row>
    <row r="23" customFormat="false" ht="25.5" hidden="false" customHeight="true" outlineLevel="0" collapsed="false">
      <c r="B23" s="31"/>
      <c r="C23" s="31"/>
      <c r="D23" s="32"/>
      <c r="E23" s="32"/>
      <c r="F23" s="33"/>
      <c r="G23" s="33"/>
      <c r="H23" s="33"/>
      <c r="I23" s="33"/>
      <c r="J23" s="33"/>
      <c r="K23" s="33"/>
      <c r="L23" s="34" t="str">
        <f aca="false">IFERROR($G23/$F23,"")</f>
        <v/>
      </c>
      <c r="M23" s="35" t="str">
        <f aca="false">IFERROR($I23/$H23,"")</f>
        <v/>
      </c>
      <c r="N23" s="35" t="str">
        <f aca="false">IFERROR($K23/$J23,"")</f>
        <v/>
      </c>
      <c r="O23" s="34" t="str">
        <f aca="false">IF($C23="","",IFERROR(IF(INDEX(Benchmarks!$I$6:$I$71,MATCH($C23,Benchmarks!$H$6:$H$71,0))="","",INDEX(Benchmarks!$I$6:$I$71,MATCH($C23,Benchmarks!$H$6:$H$71,0))),""))</f>
        <v/>
      </c>
      <c r="P23" s="35" t="str">
        <f aca="false">IF($C23="","",IFERROR(IF(INDEX(Benchmarks!$J$6:$J$71,MATCH($C23,Benchmarks!$H$6:$H$71,0))="","",INDEX(Benchmarks!$J$6:$J$71,MATCH($C23,Benchmarks!$H$6:$H$71,0))),""))</f>
        <v/>
      </c>
      <c r="Q23" s="35" t="str">
        <f aca="false">IF($C23="","",IFERROR(IF(INDEX(Benchmarks!$K$6:$K$71,MATCH($C23,Benchmarks!$H$6:$H$71,0))="","",INDEX(Benchmarks!$K$6:$K$71,MATCH($C23,Benchmarks!$H$6:$H$71,0))),""))</f>
        <v/>
      </c>
      <c r="R23" s="36" t="str">
        <f aca="false">IF(OR($L23="",$O23=""),"",($L23-$O23)*100)</f>
        <v/>
      </c>
      <c r="S23" s="36" t="str">
        <f aca="false">IF(OR($M23="",$P23=""),"",($M23-$P23)*100)</f>
        <v/>
      </c>
      <c r="T23" s="36" t="str">
        <f aca="false">IF(OR($N23="",$Q23=""),"",($N23-$Q23)*100)</f>
        <v/>
      </c>
      <c r="U23" s="37" t="str">
        <f aca="false">IF(OR($L23="",$O23=""),"",IF($F23&lt;Thresholds!$D$7,"THIN",IF($L23&gt;=$O23,"PASS",IF($L23&gt;=$O23*Thresholds!$D$6,"WATCH","MISS"))))</f>
        <v/>
      </c>
      <c r="V23" s="37" t="str">
        <f aca="false">IF(OR($M23="",$P23=""),"",IF($F23&lt;Thresholds!$D$7,"THIN",IF($M23&gt;=$P23,"PASS",IF($M23&gt;=$P23*Thresholds!$D$6,"WATCH","MISS"))))</f>
        <v/>
      </c>
      <c r="W23" s="37" t="str">
        <f aca="false">IF(OR($N23="",$Q23=""),"",IF($F23&lt;Thresholds!$D$7,"THIN",IF($N23&gt;=$Q23,"PASS",IF($N23&gt;=$Q23*Thresholds!$D$6,"WATCH","MISS"))))</f>
        <v/>
      </c>
      <c r="X23" s="38" t="str">
        <f aca="false">IF(COUNTIF($U23:$W23,"MISS")&gt;0,"MISS",IF(COUNTIF($U23:$W23,"WATCH")&gt;0,"WATCH",IF(COUNTIF($U23:$W23,"PASS")&gt;0,"PASS",IF(COUNTIF($U23:$W23,"THIN")&gt;0,"THIN",""))))</f>
        <v/>
      </c>
    </row>
    <row r="24" customFormat="false" ht="25.5" hidden="false" customHeight="true" outlineLevel="0" collapsed="false">
      <c r="B24" s="31"/>
      <c r="C24" s="31"/>
      <c r="D24" s="32"/>
      <c r="E24" s="32"/>
      <c r="F24" s="33"/>
      <c r="G24" s="33"/>
      <c r="H24" s="33"/>
      <c r="I24" s="33"/>
      <c r="J24" s="33"/>
      <c r="K24" s="33"/>
      <c r="L24" s="34" t="str">
        <f aca="false">IFERROR($G24/$F24,"")</f>
        <v/>
      </c>
      <c r="M24" s="35" t="str">
        <f aca="false">IFERROR($I24/$H24,"")</f>
        <v/>
      </c>
      <c r="N24" s="35" t="str">
        <f aca="false">IFERROR($K24/$J24,"")</f>
        <v/>
      </c>
      <c r="O24" s="34" t="str">
        <f aca="false">IF($C24="","",IFERROR(IF(INDEX(Benchmarks!$I$6:$I$71,MATCH($C24,Benchmarks!$H$6:$H$71,0))="","",INDEX(Benchmarks!$I$6:$I$71,MATCH($C24,Benchmarks!$H$6:$H$71,0))),""))</f>
        <v/>
      </c>
      <c r="P24" s="35" t="str">
        <f aca="false">IF($C24="","",IFERROR(IF(INDEX(Benchmarks!$J$6:$J$71,MATCH($C24,Benchmarks!$H$6:$H$71,0))="","",INDEX(Benchmarks!$J$6:$J$71,MATCH($C24,Benchmarks!$H$6:$H$71,0))),""))</f>
        <v/>
      </c>
      <c r="Q24" s="35" t="str">
        <f aca="false">IF($C24="","",IFERROR(IF(INDEX(Benchmarks!$K$6:$K$71,MATCH($C24,Benchmarks!$H$6:$H$71,0))="","",INDEX(Benchmarks!$K$6:$K$71,MATCH($C24,Benchmarks!$H$6:$H$71,0))),""))</f>
        <v/>
      </c>
      <c r="R24" s="36" t="str">
        <f aca="false">IF(OR($L24="",$O24=""),"",($L24-$O24)*100)</f>
        <v/>
      </c>
      <c r="S24" s="36" t="str">
        <f aca="false">IF(OR($M24="",$P24=""),"",($M24-$P24)*100)</f>
        <v/>
      </c>
      <c r="T24" s="36" t="str">
        <f aca="false">IF(OR($N24="",$Q24=""),"",($N24-$Q24)*100)</f>
        <v/>
      </c>
      <c r="U24" s="37" t="str">
        <f aca="false">IF(OR($L24="",$O24=""),"",IF($F24&lt;Thresholds!$D$7,"THIN",IF($L24&gt;=$O24,"PASS",IF($L24&gt;=$O24*Thresholds!$D$6,"WATCH","MISS"))))</f>
        <v/>
      </c>
      <c r="V24" s="37" t="str">
        <f aca="false">IF(OR($M24="",$P24=""),"",IF($F24&lt;Thresholds!$D$7,"THIN",IF($M24&gt;=$P24,"PASS",IF($M24&gt;=$P24*Thresholds!$D$6,"WATCH","MISS"))))</f>
        <v/>
      </c>
      <c r="W24" s="37" t="str">
        <f aca="false">IF(OR($N24="",$Q24=""),"",IF($F24&lt;Thresholds!$D$7,"THIN",IF($N24&gt;=$Q24,"PASS",IF($N24&gt;=$Q24*Thresholds!$D$6,"WATCH","MISS"))))</f>
        <v/>
      </c>
      <c r="X24" s="38" t="str">
        <f aca="false">IF(COUNTIF($U24:$W24,"MISS")&gt;0,"MISS",IF(COUNTIF($U24:$W24,"WATCH")&gt;0,"WATCH",IF(COUNTIF($U24:$W24,"PASS")&gt;0,"PASS",IF(COUNTIF($U24:$W24,"THIN")&gt;0,"THIN",""))))</f>
        <v/>
      </c>
    </row>
    <row r="25" customFormat="false" ht="25.5" hidden="false" customHeight="true" outlineLevel="0" collapsed="false">
      <c r="B25" s="31"/>
      <c r="C25" s="31"/>
      <c r="D25" s="32"/>
      <c r="E25" s="32"/>
      <c r="F25" s="33"/>
      <c r="G25" s="33"/>
      <c r="H25" s="33"/>
      <c r="I25" s="33"/>
      <c r="J25" s="33"/>
      <c r="K25" s="33"/>
      <c r="L25" s="34" t="str">
        <f aca="false">IFERROR($G25/$F25,"")</f>
        <v/>
      </c>
      <c r="M25" s="35" t="str">
        <f aca="false">IFERROR($I25/$H25,"")</f>
        <v/>
      </c>
      <c r="N25" s="35" t="str">
        <f aca="false">IFERROR($K25/$J25,"")</f>
        <v/>
      </c>
      <c r="O25" s="34" t="str">
        <f aca="false">IF($C25="","",IFERROR(IF(INDEX(Benchmarks!$I$6:$I$71,MATCH($C25,Benchmarks!$H$6:$H$71,0))="","",INDEX(Benchmarks!$I$6:$I$71,MATCH($C25,Benchmarks!$H$6:$H$71,0))),""))</f>
        <v/>
      </c>
      <c r="P25" s="35" t="str">
        <f aca="false">IF($C25="","",IFERROR(IF(INDEX(Benchmarks!$J$6:$J$71,MATCH($C25,Benchmarks!$H$6:$H$71,0))="","",INDEX(Benchmarks!$J$6:$J$71,MATCH($C25,Benchmarks!$H$6:$H$71,0))),""))</f>
        <v/>
      </c>
      <c r="Q25" s="35" t="str">
        <f aca="false">IF($C25="","",IFERROR(IF(INDEX(Benchmarks!$K$6:$K$71,MATCH($C25,Benchmarks!$H$6:$H$71,0))="","",INDEX(Benchmarks!$K$6:$K$71,MATCH($C25,Benchmarks!$H$6:$H$71,0))),""))</f>
        <v/>
      </c>
      <c r="R25" s="36" t="str">
        <f aca="false">IF(OR($L25="",$O25=""),"",($L25-$O25)*100)</f>
        <v/>
      </c>
      <c r="S25" s="36" t="str">
        <f aca="false">IF(OR($M25="",$P25=""),"",($M25-$P25)*100)</f>
        <v/>
      </c>
      <c r="T25" s="36" t="str">
        <f aca="false">IF(OR($N25="",$Q25=""),"",($N25-$Q25)*100)</f>
        <v/>
      </c>
      <c r="U25" s="37" t="str">
        <f aca="false">IF(OR($L25="",$O25=""),"",IF($F25&lt;Thresholds!$D$7,"THIN",IF($L25&gt;=$O25,"PASS",IF($L25&gt;=$O25*Thresholds!$D$6,"WATCH","MISS"))))</f>
        <v/>
      </c>
      <c r="V25" s="37" t="str">
        <f aca="false">IF(OR($M25="",$P25=""),"",IF($F25&lt;Thresholds!$D$7,"THIN",IF($M25&gt;=$P25,"PASS",IF($M25&gt;=$P25*Thresholds!$D$6,"WATCH","MISS"))))</f>
        <v/>
      </c>
      <c r="W25" s="37" t="str">
        <f aca="false">IF(OR($N25="",$Q25=""),"",IF($F25&lt;Thresholds!$D$7,"THIN",IF($N25&gt;=$Q25,"PASS",IF($N25&gt;=$Q25*Thresholds!$D$6,"WATCH","MISS"))))</f>
        <v/>
      </c>
      <c r="X25" s="38" t="str">
        <f aca="false">IF(COUNTIF($U25:$W25,"MISS")&gt;0,"MISS",IF(COUNTIF($U25:$W25,"WATCH")&gt;0,"WATCH",IF(COUNTIF($U25:$W25,"PASS")&gt;0,"PASS",IF(COUNTIF($U25:$W25,"THIN")&gt;0,"THIN",""))))</f>
        <v/>
      </c>
    </row>
    <row r="27" customFormat="false" ht="15" hidden="false" customHeight="false" outlineLevel="0" collapsed="false">
      <c r="B27" s="19" t="s">
        <v>260</v>
      </c>
    </row>
    <row r="28" customFormat="false" ht="15" hidden="false" customHeight="false" outlineLevel="0" collapsed="false">
      <c r="B28" s="20" t="s">
        <v>261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customFormat="false" ht="15" hidden="false" customHeight="false" outlineLevel="0" collapsed="false">
      <c r="B29" s="20" t="s">
        <v>262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customFormat="false" ht="15" hidden="false" customHeight="false" outlineLevel="0" collapsed="false">
      <c r="B30" s="20" t="s">
        <v>263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customFormat="false" ht="15" hidden="false" customHeight="false" outlineLevel="0" collapsed="false">
      <c r="B31" s="20" t="s">
        <v>264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customFormat="false" ht="15" hidden="false" customHeight="false" outlineLevel="0" collapsed="false">
      <c r="B32" s="20" t="s">
        <v>265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</sheetData>
  <mergeCells count="13">
    <mergeCell ref="B1:X1"/>
    <mergeCell ref="B2:X2"/>
    <mergeCell ref="B3:E3"/>
    <mergeCell ref="F3:K3"/>
    <mergeCell ref="L3:N3"/>
    <mergeCell ref="O3:Q3"/>
    <mergeCell ref="R3:T3"/>
    <mergeCell ref="U3:X3"/>
    <mergeCell ref="B28:N28"/>
    <mergeCell ref="B29:N29"/>
    <mergeCell ref="B30:N30"/>
    <mergeCell ref="B31:N31"/>
    <mergeCell ref="B32:N32"/>
  </mergeCells>
  <dataValidations count="1">
    <dataValidation allowBlank="true" errorStyle="stop" operator="between" prompt="Pick the placement this line item ran as." promptTitle="Benchmark Key" showDropDown="false" showErrorMessage="false" showInputMessage="false" sqref="C5:C25" type="list">
      <formula1>Thresholds!$B$28:$B$83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7" min="4" style="0" width="14"/>
    <col collapsed="false" customWidth="true" hidden="false" outlineLevel="0" max="8" min="8" style="0" width="58"/>
  </cols>
  <sheetData>
    <row r="1" customFormat="false" ht="24" hidden="false" customHeight="true" outlineLevel="0" collapsed="false">
      <c r="B1" s="1" t="s">
        <v>266</v>
      </c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B2" s="2" t="s">
        <v>267</v>
      </c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4" t="s">
        <v>268</v>
      </c>
      <c r="C4" s="4"/>
      <c r="D4" s="4"/>
    </row>
    <row r="5" customFormat="false" ht="15" hidden="false" customHeight="false" outlineLevel="0" collapsed="false">
      <c r="B5" s="39"/>
    </row>
    <row r="6" customFormat="false" ht="30" hidden="false" customHeight="true" outlineLevel="0" collapsed="false">
      <c r="B6" s="16" t="s">
        <v>269</v>
      </c>
      <c r="D6" s="40" t="n">
        <v>0.9</v>
      </c>
      <c r="H6" s="41" t="s">
        <v>270</v>
      </c>
    </row>
    <row r="7" customFormat="false" ht="30" hidden="false" customHeight="true" outlineLevel="0" collapsed="false">
      <c r="B7" s="16" t="s">
        <v>271</v>
      </c>
      <c r="D7" s="42" t="n">
        <v>10000</v>
      </c>
      <c r="H7" s="41" t="s">
        <v>272</v>
      </c>
    </row>
    <row r="8" customFormat="false" ht="30" hidden="false" customHeight="true" outlineLevel="0" collapsed="false">
      <c r="B8" s="16" t="s">
        <v>273</v>
      </c>
      <c r="D8" s="43" t="n">
        <v>6</v>
      </c>
      <c r="H8" s="41" t="s">
        <v>274</v>
      </c>
    </row>
    <row r="10" customFormat="false" ht="15" hidden="false" customHeight="false" outlineLevel="0" collapsed="false">
      <c r="B10" s="5" t="s">
        <v>275</v>
      </c>
      <c r="C10" s="5"/>
      <c r="D10" s="5"/>
      <c r="E10" s="5"/>
      <c r="F10" s="5"/>
    </row>
    <row r="11" customFormat="false" ht="30" hidden="false" customHeight="true" outlineLevel="0" collapsed="false">
      <c r="B11" s="9" t="s">
        <v>11</v>
      </c>
      <c r="C11" s="9" t="s">
        <v>276</v>
      </c>
      <c r="D11" s="9" t="s">
        <v>277</v>
      </c>
      <c r="E11" s="9" t="s">
        <v>278</v>
      </c>
      <c r="F11" s="9" t="s">
        <v>279</v>
      </c>
    </row>
    <row r="12" customFormat="false" ht="19.5" hidden="false" customHeight="true" outlineLevel="0" collapsed="false">
      <c r="B12" s="44" t="s">
        <v>28</v>
      </c>
      <c r="C12" s="45" t="n">
        <f aca="false">COUNTIF(Benchmarks!$G$6:$G$71,$B12)</f>
        <v>18</v>
      </c>
      <c r="D12" s="46" t="n">
        <f aca="false">IFERROR(AVERAGEIF(Benchmarks!$G$6:$G$71,$B12,Benchmarks!$I$6:$I$71),"—")</f>
        <v>0.00146875</v>
      </c>
      <c r="E12" s="47" t="n">
        <f aca="false">IFERROR(AVERAGEIF(Benchmarks!$G$6:$G$71,$B12,Benchmarks!$J$6:$J$71),"—")</f>
        <v>0.673529411764706</v>
      </c>
      <c r="F12" s="47" t="n">
        <f aca="false">IFERROR(AVERAGEIF(Benchmarks!$G$6:$G$71,$B12,Benchmarks!$K$6:$K$71),"—")</f>
        <v>0.4625</v>
      </c>
    </row>
    <row r="13" customFormat="false" ht="19.5" hidden="false" customHeight="true" outlineLevel="0" collapsed="false">
      <c r="B13" s="44" t="s">
        <v>49</v>
      </c>
      <c r="C13" s="45" t="n">
        <f aca="false">COUNTIF(Benchmarks!$G$6:$G$71,$B13)</f>
        <v>1</v>
      </c>
      <c r="D13" s="46" t="n">
        <f aca="false">IFERROR(AVERAGEIF(Benchmarks!$G$6:$G$71,$B13,Benchmarks!$I$6:$I$71),"—")</f>
        <v>0.006</v>
      </c>
      <c r="E13" s="47" t="n">
        <f aca="false">IFERROR(AVERAGEIF(Benchmarks!$G$6:$G$71,$B13,Benchmarks!$J$6:$J$71),"—")</f>
        <v>0.7</v>
      </c>
      <c r="F13" s="47" t="n">
        <f aca="false">IFERROR(AVERAGEIF(Benchmarks!$G$6:$G$71,$B13,Benchmarks!$K$6:$K$71),"—")</f>
        <v>0.7</v>
      </c>
    </row>
    <row r="14" customFormat="false" ht="19.5" hidden="false" customHeight="true" outlineLevel="0" collapsed="false">
      <c r="B14" s="44" t="s">
        <v>214</v>
      </c>
      <c r="C14" s="45" t="n">
        <f aca="false">COUNTIF(Benchmarks!$G$6:$G$71,$B14)</f>
        <v>2</v>
      </c>
      <c r="D14" s="46" t="n">
        <f aca="false">IFERROR(AVERAGEIF(Benchmarks!$G$6:$G$71,$B14,Benchmarks!$I$6:$I$71),"—")</f>
        <v>0.008</v>
      </c>
      <c r="E14" s="47" t="n">
        <f aca="false">IFERROR(AVERAGEIF(Benchmarks!$G$6:$G$71,$B14,Benchmarks!$J$6:$J$71),"—")</f>
        <v>1</v>
      </c>
      <c r="F14" s="47" t="str">
        <f aca="false">IFERROR(AVERAGEIF(Benchmarks!$G$6:$G$71,$B14,Benchmarks!$K$6:$K$71),"—")</f>
        <v>—</v>
      </c>
    </row>
    <row r="15" customFormat="false" ht="19.5" hidden="false" customHeight="true" outlineLevel="0" collapsed="false">
      <c r="B15" s="44" t="s">
        <v>121</v>
      </c>
      <c r="C15" s="45" t="n">
        <f aca="false">COUNTIF(Benchmarks!$G$6:$G$71,$B15)</f>
        <v>3</v>
      </c>
      <c r="D15" s="46" t="n">
        <f aca="false">IFERROR(AVERAGEIF(Benchmarks!$G$6:$G$71,$B15,Benchmarks!$I$6:$I$71),"—")</f>
        <v>0.00583333333333333</v>
      </c>
      <c r="E15" s="47" t="n">
        <f aca="false">IFERROR(AVERAGEIF(Benchmarks!$G$6:$G$71,$B15,Benchmarks!$J$6:$J$71),"—")</f>
        <v>0.55</v>
      </c>
      <c r="F15" s="47" t="n">
        <f aca="false">IFERROR(AVERAGEIF(Benchmarks!$G$6:$G$71,$B15,Benchmarks!$K$6:$K$71),"—")</f>
        <v>0.65</v>
      </c>
    </row>
    <row r="16" customFormat="false" ht="19.5" hidden="false" customHeight="true" outlineLevel="0" collapsed="false">
      <c r="B16" s="44" t="s">
        <v>75</v>
      </c>
      <c r="C16" s="45" t="n">
        <f aca="false">COUNTIF(Benchmarks!$G$6:$G$71,$B16)</f>
        <v>6</v>
      </c>
      <c r="D16" s="46" t="n">
        <f aca="false">IFERROR(AVERAGEIF(Benchmarks!$G$6:$G$71,$B16,Benchmarks!$I$6:$I$71),"—")</f>
        <v>0.004</v>
      </c>
      <c r="E16" s="47" t="n">
        <f aca="false">IFERROR(AVERAGEIF(Benchmarks!$G$6:$G$71,$B16,Benchmarks!$J$6:$J$71),"—")</f>
        <v>0.7</v>
      </c>
      <c r="F16" s="47" t="str">
        <f aca="false">IFERROR(AVERAGEIF(Benchmarks!$G$6:$G$71,$B16,Benchmarks!$K$6:$K$71),"—")</f>
        <v>—</v>
      </c>
    </row>
    <row r="17" customFormat="false" ht="19.5" hidden="false" customHeight="true" outlineLevel="0" collapsed="false">
      <c r="B17" s="44" t="s">
        <v>56</v>
      </c>
      <c r="C17" s="45" t="n">
        <f aca="false">COUNTIF(Benchmarks!$G$6:$G$71,$B17)</f>
        <v>7</v>
      </c>
      <c r="D17" s="46" t="n">
        <f aca="false">IFERROR(AVERAGEIF(Benchmarks!$G$6:$G$71,$B17,Benchmarks!$I$6:$I$71),"—")</f>
        <v>0.00357142857142857</v>
      </c>
      <c r="E17" s="47" t="n">
        <f aca="false">IFERROR(AVERAGEIF(Benchmarks!$G$6:$G$71,$B17,Benchmarks!$J$6:$J$71),"—")</f>
        <v>0.7</v>
      </c>
      <c r="F17" s="47" t="str">
        <f aca="false">IFERROR(AVERAGEIF(Benchmarks!$G$6:$G$71,$B17,Benchmarks!$K$6:$K$71),"—")</f>
        <v>—</v>
      </c>
    </row>
    <row r="18" customFormat="false" ht="19.5" hidden="false" customHeight="true" outlineLevel="0" collapsed="false">
      <c r="B18" s="44" t="s">
        <v>199</v>
      </c>
      <c r="C18" s="45" t="n">
        <f aca="false">COUNTIF(Benchmarks!$G$6:$G$71,$B18)</f>
        <v>7</v>
      </c>
      <c r="D18" s="46" t="n">
        <f aca="false">IFERROR(AVERAGEIF(Benchmarks!$G$6:$G$71,$B18,Benchmarks!$I$6:$I$71),"—")</f>
        <v>0.00385714285714286</v>
      </c>
      <c r="E18" s="47" t="n">
        <f aca="false">IFERROR(AVERAGEIF(Benchmarks!$G$6:$G$71,$B18,Benchmarks!$J$6:$J$71),"—")</f>
        <v>1</v>
      </c>
      <c r="F18" s="47" t="str">
        <f aca="false">IFERROR(AVERAGEIF(Benchmarks!$G$6:$G$71,$B18,Benchmarks!$K$6:$K$71),"—")</f>
        <v>—</v>
      </c>
    </row>
    <row r="19" customFormat="false" ht="19.5" hidden="false" customHeight="true" outlineLevel="0" collapsed="false">
      <c r="B19" s="44" t="s">
        <v>141</v>
      </c>
      <c r="C19" s="45" t="n">
        <f aca="false">COUNTIF(Benchmarks!$G$6:$G$71,$B19)</f>
        <v>7</v>
      </c>
      <c r="D19" s="46" t="n">
        <f aca="false">IFERROR(AVERAGEIF(Benchmarks!$G$6:$G$71,$B19,Benchmarks!$I$6:$I$71),"—")</f>
        <v>0.007</v>
      </c>
      <c r="E19" s="47" t="str">
        <f aca="false">IFERROR(AVERAGEIF(Benchmarks!$G$6:$G$71,$B19,Benchmarks!$J$6:$J$71),"—")</f>
        <v>—</v>
      </c>
      <c r="F19" s="47" t="str">
        <f aca="false">IFERROR(AVERAGEIF(Benchmarks!$G$6:$G$71,$B19,Benchmarks!$K$6:$K$71),"—")</f>
        <v>—</v>
      </c>
    </row>
    <row r="20" customFormat="false" ht="19.5" hidden="false" customHeight="true" outlineLevel="0" collapsed="false">
      <c r="B20" s="44" t="s">
        <v>173</v>
      </c>
      <c r="C20" s="45" t="n">
        <f aca="false">COUNTIF(Benchmarks!$G$6:$G$71,$B20)</f>
        <v>4</v>
      </c>
      <c r="D20" s="46" t="n">
        <f aca="false">IFERROR(AVERAGEIF(Benchmarks!$G$6:$G$71,$B20,Benchmarks!$I$6:$I$71),"—")</f>
        <v>0.0030515</v>
      </c>
      <c r="E20" s="47" t="str">
        <f aca="false">IFERROR(AVERAGEIF(Benchmarks!$G$6:$G$71,$B20,Benchmarks!$J$6:$J$71),"—")</f>
        <v>—</v>
      </c>
      <c r="F20" s="47" t="str">
        <f aca="false">IFERROR(AVERAGEIF(Benchmarks!$G$6:$G$71,$B20,Benchmarks!$K$6:$K$71),"—")</f>
        <v>—</v>
      </c>
    </row>
    <row r="21" customFormat="false" ht="19.5" hidden="false" customHeight="true" outlineLevel="0" collapsed="false">
      <c r="B21" s="44" t="s">
        <v>193</v>
      </c>
      <c r="C21" s="45" t="n">
        <f aca="false">COUNTIF(Benchmarks!$G$6:$G$71,$B21)</f>
        <v>1</v>
      </c>
      <c r="D21" s="46" t="str">
        <f aca="false">IFERROR(AVERAGEIF(Benchmarks!$G$6:$G$71,$B21,Benchmarks!$I$6:$I$71),"—")</f>
        <v>—</v>
      </c>
      <c r="E21" s="47" t="str">
        <f aca="false">IFERROR(AVERAGEIF(Benchmarks!$G$6:$G$71,$B21,Benchmarks!$J$6:$J$71),"—")</f>
        <v>—</v>
      </c>
      <c r="F21" s="47" t="str">
        <f aca="false">IFERROR(AVERAGEIF(Benchmarks!$G$6:$G$71,$B21,Benchmarks!$K$6:$K$71),"—")</f>
        <v>—</v>
      </c>
    </row>
    <row r="23" customFormat="false" ht="15" hidden="false" customHeight="false" outlineLevel="0" collapsed="false">
      <c r="B23" s="48" t="s">
        <v>280</v>
      </c>
    </row>
    <row r="25" customFormat="false" ht="15" hidden="false" customHeight="false" outlineLevel="0" collapsed="false">
      <c r="B25" s="6" t="s">
        <v>281</v>
      </c>
      <c r="C25" s="6"/>
      <c r="D25" s="6"/>
    </row>
    <row r="26" customFormat="false" ht="15" hidden="false" customHeight="false" outlineLevel="0" collapsed="false">
      <c r="B26" s="49" t="s">
        <v>282</v>
      </c>
      <c r="C26" s="49"/>
      <c r="D26" s="49"/>
    </row>
    <row r="28" customFormat="false" ht="15" hidden="false" customHeight="false" outlineLevel="0" collapsed="false">
      <c r="B28" s="50" t="s">
        <v>259</v>
      </c>
    </row>
    <row r="29" customFormat="false" ht="15" hidden="false" customHeight="false" outlineLevel="0" collapsed="false">
      <c r="B29" s="50" t="s">
        <v>283</v>
      </c>
    </row>
    <row r="30" customFormat="false" ht="15" hidden="false" customHeight="false" outlineLevel="0" collapsed="false">
      <c r="B30" s="50" t="s">
        <v>284</v>
      </c>
    </row>
    <row r="31" customFormat="false" ht="15" hidden="false" customHeight="false" outlineLevel="0" collapsed="false">
      <c r="B31" s="50" t="s">
        <v>285</v>
      </c>
    </row>
    <row r="32" customFormat="false" ht="15" hidden="false" customHeight="false" outlineLevel="0" collapsed="false">
      <c r="B32" s="50" t="s">
        <v>286</v>
      </c>
    </row>
    <row r="33" customFormat="false" ht="15" hidden="false" customHeight="false" outlineLevel="0" collapsed="false">
      <c r="B33" s="50" t="s">
        <v>287</v>
      </c>
    </row>
    <row r="34" customFormat="false" ht="15" hidden="false" customHeight="false" outlineLevel="0" collapsed="false">
      <c r="B34" s="50" t="s">
        <v>288</v>
      </c>
    </row>
    <row r="35" customFormat="false" ht="15" hidden="false" customHeight="false" outlineLevel="0" collapsed="false">
      <c r="B35" s="50" t="s">
        <v>289</v>
      </c>
    </row>
    <row r="36" customFormat="false" ht="15" hidden="false" customHeight="false" outlineLevel="0" collapsed="false">
      <c r="B36" s="50" t="s">
        <v>290</v>
      </c>
    </row>
    <row r="37" customFormat="false" ht="15" hidden="false" customHeight="false" outlineLevel="0" collapsed="false">
      <c r="B37" s="50" t="s">
        <v>291</v>
      </c>
    </row>
    <row r="38" customFormat="false" ht="15" hidden="false" customHeight="false" outlineLevel="0" collapsed="false">
      <c r="B38" s="50" t="s">
        <v>292</v>
      </c>
    </row>
    <row r="39" customFormat="false" ht="15" hidden="false" customHeight="false" outlineLevel="0" collapsed="false">
      <c r="B39" s="50" t="s">
        <v>293</v>
      </c>
    </row>
    <row r="40" customFormat="false" ht="15" hidden="false" customHeight="false" outlineLevel="0" collapsed="false">
      <c r="B40" s="50" t="s">
        <v>294</v>
      </c>
    </row>
    <row r="41" customFormat="false" ht="15" hidden="false" customHeight="false" outlineLevel="0" collapsed="false">
      <c r="B41" s="50" t="s">
        <v>295</v>
      </c>
    </row>
    <row r="42" customFormat="false" ht="15" hidden="false" customHeight="false" outlineLevel="0" collapsed="false">
      <c r="B42" s="50" t="s">
        <v>296</v>
      </c>
    </row>
    <row r="43" customFormat="false" ht="15" hidden="false" customHeight="false" outlineLevel="0" collapsed="false">
      <c r="B43" s="50" t="s">
        <v>297</v>
      </c>
    </row>
    <row r="44" customFormat="false" ht="15" hidden="false" customHeight="false" outlineLevel="0" collapsed="false">
      <c r="B44" s="50" t="s">
        <v>298</v>
      </c>
    </row>
    <row r="45" customFormat="false" ht="15" hidden="false" customHeight="false" outlineLevel="0" collapsed="false">
      <c r="B45" s="50" t="s">
        <v>299</v>
      </c>
    </row>
    <row r="46" customFormat="false" ht="15" hidden="false" customHeight="false" outlineLevel="0" collapsed="false">
      <c r="B46" s="50" t="s">
        <v>300</v>
      </c>
    </row>
    <row r="47" customFormat="false" ht="15" hidden="false" customHeight="false" outlineLevel="0" collapsed="false">
      <c r="B47" s="50" t="s">
        <v>301</v>
      </c>
    </row>
    <row r="48" customFormat="false" ht="15" hidden="false" customHeight="false" outlineLevel="0" collapsed="false">
      <c r="B48" s="50" t="s">
        <v>302</v>
      </c>
    </row>
    <row r="49" customFormat="false" ht="15" hidden="false" customHeight="false" outlineLevel="0" collapsed="false">
      <c r="B49" s="50" t="s">
        <v>303</v>
      </c>
    </row>
    <row r="50" customFormat="false" ht="15" hidden="false" customHeight="false" outlineLevel="0" collapsed="false">
      <c r="B50" s="50" t="s">
        <v>304</v>
      </c>
    </row>
    <row r="51" customFormat="false" ht="15" hidden="false" customHeight="false" outlineLevel="0" collapsed="false">
      <c r="B51" s="50" t="s">
        <v>305</v>
      </c>
    </row>
    <row r="52" customFormat="false" ht="15" hidden="false" customHeight="false" outlineLevel="0" collapsed="false">
      <c r="B52" s="50" t="s">
        <v>306</v>
      </c>
    </row>
    <row r="53" customFormat="false" ht="15" hidden="false" customHeight="false" outlineLevel="0" collapsed="false">
      <c r="B53" s="50" t="s">
        <v>307</v>
      </c>
    </row>
    <row r="54" customFormat="false" ht="15" hidden="false" customHeight="false" outlineLevel="0" collapsed="false">
      <c r="B54" s="50" t="s">
        <v>308</v>
      </c>
    </row>
    <row r="55" customFormat="false" ht="15" hidden="false" customHeight="false" outlineLevel="0" collapsed="false">
      <c r="B55" s="50" t="s">
        <v>309</v>
      </c>
    </row>
    <row r="56" customFormat="false" ht="15" hidden="false" customHeight="false" outlineLevel="0" collapsed="false">
      <c r="B56" s="50" t="s">
        <v>310</v>
      </c>
    </row>
    <row r="57" customFormat="false" ht="15" hidden="false" customHeight="false" outlineLevel="0" collapsed="false">
      <c r="B57" s="50" t="s">
        <v>311</v>
      </c>
    </row>
    <row r="58" customFormat="false" ht="15" hidden="false" customHeight="false" outlineLevel="0" collapsed="false">
      <c r="B58" s="50" t="s">
        <v>312</v>
      </c>
    </row>
    <row r="59" customFormat="false" ht="15" hidden="false" customHeight="false" outlineLevel="0" collapsed="false">
      <c r="B59" s="50" t="s">
        <v>313</v>
      </c>
    </row>
    <row r="60" customFormat="false" ht="15" hidden="false" customHeight="false" outlineLevel="0" collapsed="false">
      <c r="B60" s="50" t="s">
        <v>314</v>
      </c>
    </row>
    <row r="61" customFormat="false" ht="15" hidden="false" customHeight="false" outlineLevel="0" collapsed="false">
      <c r="B61" s="50" t="s">
        <v>315</v>
      </c>
    </row>
    <row r="62" customFormat="false" ht="15" hidden="false" customHeight="false" outlineLevel="0" collapsed="false">
      <c r="B62" s="50" t="s">
        <v>316</v>
      </c>
    </row>
    <row r="63" customFormat="false" ht="15" hidden="false" customHeight="false" outlineLevel="0" collapsed="false">
      <c r="B63" s="50" t="s">
        <v>317</v>
      </c>
    </row>
    <row r="64" customFormat="false" ht="15" hidden="false" customHeight="false" outlineLevel="0" collapsed="false">
      <c r="B64" s="50" t="s">
        <v>318</v>
      </c>
    </row>
    <row r="65" customFormat="false" ht="15" hidden="false" customHeight="false" outlineLevel="0" collapsed="false">
      <c r="B65" s="50" t="s">
        <v>319</v>
      </c>
    </row>
    <row r="66" customFormat="false" ht="15" hidden="false" customHeight="false" outlineLevel="0" collapsed="false">
      <c r="B66" s="50" t="s">
        <v>320</v>
      </c>
    </row>
    <row r="67" customFormat="false" ht="15" hidden="false" customHeight="false" outlineLevel="0" collapsed="false">
      <c r="B67" s="50" t="s">
        <v>321</v>
      </c>
    </row>
    <row r="68" customFormat="false" ht="15" hidden="false" customHeight="false" outlineLevel="0" collapsed="false">
      <c r="B68" s="50" t="s">
        <v>322</v>
      </c>
    </row>
    <row r="69" customFormat="false" ht="15" hidden="false" customHeight="false" outlineLevel="0" collapsed="false">
      <c r="B69" s="50" t="s">
        <v>323</v>
      </c>
    </row>
    <row r="70" customFormat="false" ht="15" hidden="false" customHeight="false" outlineLevel="0" collapsed="false">
      <c r="B70" s="50" t="s">
        <v>324</v>
      </c>
    </row>
    <row r="71" customFormat="false" ht="15" hidden="false" customHeight="false" outlineLevel="0" collapsed="false">
      <c r="B71" s="50" t="s">
        <v>325</v>
      </c>
    </row>
    <row r="72" customFormat="false" ht="15" hidden="false" customHeight="false" outlineLevel="0" collapsed="false">
      <c r="B72" s="50" t="s">
        <v>326</v>
      </c>
    </row>
    <row r="73" customFormat="false" ht="15" hidden="false" customHeight="false" outlineLevel="0" collapsed="false">
      <c r="B73" s="50" t="s">
        <v>327</v>
      </c>
    </row>
    <row r="74" customFormat="false" ht="15" hidden="false" customHeight="false" outlineLevel="0" collapsed="false">
      <c r="B74" s="50" t="s">
        <v>328</v>
      </c>
    </row>
    <row r="75" customFormat="false" ht="15" hidden="false" customHeight="false" outlineLevel="0" collapsed="false">
      <c r="B75" s="50" t="s">
        <v>329</v>
      </c>
    </row>
    <row r="76" customFormat="false" ht="15" hidden="false" customHeight="false" outlineLevel="0" collapsed="false">
      <c r="B76" s="50" t="s">
        <v>330</v>
      </c>
    </row>
    <row r="77" customFormat="false" ht="15" hidden="false" customHeight="false" outlineLevel="0" collapsed="false">
      <c r="B77" s="50" t="s">
        <v>331</v>
      </c>
    </row>
    <row r="78" customFormat="false" ht="15" hidden="false" customHeight="false" outlineLevel="0" collapsed="false">
      <c r="B78" s="50" t="s">
        <v>332</v>
      </c>
    </row>
    <row r="79" customFormat="false" ht="15" hidden="false" customHeight="false" outlineLevel="0" collapsed="false">
      <c r="B79" s="50" t="s">
        <v>333</v>
      </c>
    </row>
    <row r="80" customFormat="false" ht="15" hidden="false" customHeight="false" outlineLevel="0" collapsed="false">
      <c r="B80" s="50" t="s">
        <v>334</v>
      </c>
    </row>
    <row r="81" customFormat="false" ht="15" hidden="false" customHeight="false" outlineLevel="0" collapsed="false">
      <c r="B81" s="50" t="s">
        <v>335</v>
      </c>
    </row>
    <row r="82" customFormat="false" ht="15" hidden="false" customHeight="false" outlineLevel="0" collapsed="false">
      <c r="B82" s="50" t="s">
        <v>336</v>
      </c>
    </row>
    <row r="83" customFormat="false" ht="15" hidden="false" customHeight="false" outlineLevel="0" collapsed="false">
      <c r="B83" s="50" t="s">
        <v>337</v>
      </c>
    </row>
  </sheetData>
  <mergeCells count="6">
    <mergeCell ref="B1:H1"/>
    <mergeCell ref="B2:H2"/>
    <mergeCell ref="B4:D4"/>
    <mergeCell ref="B10:F10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24" hidden="false" customHeight="true" outlineLevel="0" collapsed="false">
      <c r="B1" s="1" t="s">
        <v>338</v>
      </c>
      <c r="C1" s="1"/>
    </row>
    <row r="2" customFormat="false" ht="25.5" hidden="false" customHeight="true" outlineLevel="0" collapsed="false">
      <c r="B2" s="2" t="s">
        <v>339</v>
      </c>
      <c r="C2" s="2"/>
    </row>
    <row r="4" customFormat="false" ht="19.5" hidden="false" customHeight="true" outlineLevel="0" collapsed="false">
      <c r="B4" s="4" t="s">
        <v>340</v>
      </c>
      <c r="C4" s="4"/>
    </row>
    <row r="5" customFormat="false" ht="31.5" hidden="false" customHeight="true" outlineLevel="0" collapsed="false">
      <c r="B5" s="51" t="s">
        <v>254</v>
      </c>
      <c r="C5" s="16" t="s">
        <v>341</v>
      </c>
    </row>
    <row r="6" customFormat="false" ht="31.5" hidden="false" customHeight="true" outlineLevel="0" collapsed="false">
      <c r="B6" s="51" t="s">
        <v>255</v>
      </c>
      <c r="C6" s="16" t="s">
        <v>342</v>
      </c>
    </row>
    <row r="7" customFormat="false" ht="31.5" hidden="false" customHeight="true" outlineLevel="0" collapsed="false">
      <c r="B7" s="51" t="s">
        <v>343</v>
      </c>
      <c r="C7" s="16" t="s">
        <v>344</v>
      </c>
    </row>
    <row r="8" customFormat="false" ht="31.5" hidden="false" customHeight="true" outlineLevel="0" collapsed="false">
      <c r="B8" s="51" t="s">
        <v>256</v>
      </c>
      <c r="C8" s="16" t="s">
        <v>345</v>
      </c>
    </row>
    <row r="9" customFormat="false" ht="31.5" hidden="false" customHeight="true" outlineLevel="0" collapsed="false">
      <c r="B9" s="51" t="s">
        <v>346</v>
      </c>
      <c r="C9" s="16" t="s">
        <v>347</v>
      </c>
    </row>
    <row r="10" customFormat="false" ht="31.5" hidden="false" customHeight="true" outlineLevel="0" collapsed="false">
      <c r="B10" s="51" t="s">
        <v>348</v>
      </c>
      <c r="C10" s="16" t="s">
        <v>349</v>
      </c>
    </row>
    <row r="11" customFormat="false" ht="31.5" hidden="false" customHeight="true" outlineLevel="0" collapsed="false">
      <c r="B11" s="51" t="s">
        <v>350</v>
      </c>
      <c r="C11" s="16" t="s">
        <v>351</v>
      </c>
    </row>
    <row r="13" customFormat="false" ht="19.5" hidden="false" customHeight="true" outlineLevel="0" collapsed="false">
      <c r="B13" s="5" t="s">
        <v>352</v>
      </c>
      <c r="C13" s="5"/>
    </row>
    <row r="14" customFormat="false" ht="31.5" hidden="false" customHeight="true" outlineLevel="0" collapsed="false">
      <c r="B14" s="51" t="s">
        <v>353</v>
      </c>
      <c r="C14" s="16" t="s">
        <v>354</v>
      </c>
    </row>
    <row r="15" customFormat="false" ht="31.5" hidden="false" customHeight="true" outlineLevel="0" collapsed="false">
      <c r="B15" s="51" t="s">
        <v>355</v>
      </c>
      <c r="C15" s="16" t="s">
        <v>356</v>
      </c>
    </row>
    <row r="16" customFormat="false" ht="31.5" hidden="false" customHeight="true" outlineLevel="0" collapsed="false">
      <c r="B16" s="51" t="s">
        <v>357</v>
      </c>
      <c r="C16" s="16" t="s">
        <v>358</v>
      </c>
    </row>
    <row r="17" customFormat="false" ht="31.5" hidden="false" customHeight="true" outlineLevel="0" collapsed="false">
      <c r="B17" s="51" t="s">
        <v>359</v>
      </c>
      <c r="C17" s="16" t="s">
        <v>360</v>
      </c>
    </row>
    <row r="18" customFormat="false" ht="31.5" hidden="false" customHeight="true" outlineLevel="0" collapsed="false">
      <c r="B18" s="51" t="s">
        <v>173</v>
      </c>
      <c r="C18" s="16" t="s">
        <v>361</v>
      </c>
    </row>
    <row r="19" customFormat="false" ht="31.5" hidden="false" customHeight="true" outlineLevel="0" collapsed="false">
      <c r="B19" s="51" t="s">
        <v>362</v>
      </c>
      <c r="C19" s="16" t="s">
        <v>363</v>
      </c>
    </row>
    <row r="20" customFormat="false" ht="31.5" hidden="false" customHeight="true" outlineLevel="0" collapsed="false">
      <c r="B20" s="51" t="s">
        <v>364</v>
      </c>
      <c r="C20" s="16" t="s">
        <v>365</v>
      </c>
    </row>
    <row r="22" customFormat="false" ht="19.5" hidden="false" customHeight="true" outlineLevel="0" collapsed="false">
      <c r="B22" s="6" t="s">
        <v>366</v>
      </c>
      <c r="C22" s="6"/>
    </row>
    <row r="23" customFormat="false" ht="31.5" hidden="false" customHeight="true" outlineLevel="0" collapsed="false">
      <c r="B23" s="51" t="s">
        <v>367</v>
      </c>
      <c r="C23" s="16" t="s">
        <v>368</v>
      </c>
    </row>
    <row r="24" customFormat="false" ht="31.5" hidden="false" customHeight="true" outlineLevel="0" collapsed="false">
      <c r="B24" s="51" t="s">
        <v>369</v>
      </c>
      <c r="C24" s="16" t="s">
        <v>370</v>
      </c>
    </row>
    <row r="25" customFormat="false" ht="31.5" hidden="false" customHeight="true" outlineLevel="0" collapsed="false">
      <c r="B25" s="51" t="s">
        <v>371</v>
      </c>
      <c r="C25" s="16" t="s">
        <v>372</v>
      </c>
    </row>
    <row r="26" customFormat="false" ht="31.5" hidden="false" customHeight="true" outlineLevel="0" collapsed="false">
      <c r="B26" s="51" t="s">
        <v>373</v>
      </c>
      <c r="C26" s="16" t="s">
        <v>374</v>
      </c>
    </row>
    <row r="27" customFormat="false" ht="31.5" hidden="false" customHeight="true" outlineLevel="0" collapsed="false">
      <c r="B27" s="51" t="s">
        <v>375</v>
      </c>
      <c r="C27" s="16" t="s">
        <v>376</v>
      </c>
    </row>
    <row r="28" customFormat="false" ht="31.5" hidden="false" customHeight="true" outlineLevel="0" collapsed="false">
      <c r="B28" s="51" t="s">
        <v>377</v>
      </c>
      <c r="C28" s="16" t="s">
        <v>378</v>
      </c>
    </row>
    <row r="29" customFormat="false" ht="31.5" hidden="false" customHeight="true" outlineLevel="0" collapsed="false">
      <c r="B29" s="51" t="s">
        <v>379</v>
      </c>
      <c r="C29" s="16" t="s">
        <v>380</v>
      </c>
    </row>
    <row r="31" customFormat="false" ht="19.5" hidden="false" customHeight="true" outlineLevel="0" collapsed="false">
      <c r="B31" s="3" t="s">
        <v>381</v>
      </c>
      <c r="C31" s="3"/>
    </row>
    <row r="32" customFormat="false" ht="31.5" hidden="false" customHeight="true" outlineLevel="0" collapsed="false">
      <c r="B32" s="51" t="s">
        <v>382</v>
      </c>
      <c r="C32" s="16" t="s">
        <v>383</v>
      </c>
    </row>
    <row r="33" customFormat="false" ht="31.5" hidden="false" customHeight="true" outlineLevel="0" collapsed="false">
      <c r="B33" s="51" t="s">
        <v>384</v>
      </c>
      <c r="C33" s="16" t="s">
        <v>385</v>
      </c>
    </row>
    <row r="34" customFormat="false" ht="31.5" hidden="false" customHeight="true" outlineLevel="0" collapsed="false">
      <c r="B34" s="51" t="s">
        <v>386</v>
      </c>
      <c r="C34" s="16" t="s">
        <v>387</v>
      </c>
    </row>
    <row r="35" customFormat="false" ht="31.5" hidden="false" customHeight="true" outlineLevel="0" collapsed="false">
      <c r="B35" s="51" t="s">
        <v>388</v>
      </c>
      <c r="C35" s="16" t="s">
        <v>389</v>
      </c>
    </row>
    <row r="37" customFormat="false" ht="19.5" hidden="false" customHeight="true" outlineLevel="0" collapsed="false">
      <c r="B37" s="3" t="s">
        <v>390</v>
      </c>
      <c r="C37" s="3"/>
    </row>
    <row r="38" customFormat="false" ht="31.5" hidden="false" customHeight="true" outlineLevel="0" collapsed="false">
      <c r="B38" s="51" t="s">
        <v>391</v>
      </c>
      <c r="C38" s="16" t="s">
        <v>392</v>
      </c>
    </row>
    <row r="39" customFormat="false" ht="31.5" hidden="false" customHeight="true" outlineLevel="0" collapsed="false">
      <c r="B39" s="51"/>
      <c r="C39" s="16"/>
    </row>
  </sheetData>
  <mergeCells count="7">
    <mergeCell ref="B1:C1"/>
    <mergeCell ref="B2:C2"/>
    <mergeCell ref="B4:C4"/>
    <mergeCell ref="B13:C13"/>
    <mergeCell ref="B22:C22"/>
    <mergeCell ref="B31:C31"/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2026-09-02T17:50:48Z</dcterms:created>
  <dc:creator>openpyxl</dc:creator>
  <dc:description/>
  <dc:language>en-US</dc:language>
  <cp:lastModifiedBy/>
  <dcterms:modified xsi:type="dcterms:W3CDTF">2026-09-02T17:50:48Z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