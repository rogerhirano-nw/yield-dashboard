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 UR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<sst xmlns="http://schemas.openxmlformats.org/spreadsheetml/2006/main" count="49" uniqueCount="41">
  <si>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t xml:space="preserve">Site-served campaign — GA4 tracking URLs</t>
  </si>
  <si>
    <t xml:space="preserve">Built per Google's GA4 URL-builder guidance (support.google.com/analytics/answer/10917952). Yellow cells are inputs; the last column builds the click-through URL. Blank row inputs fall back to the campaign defaults.</t>
  </si>
  <si>
    <t xml:space="preserve">Campaign defaults</t>
  </si>
  <si>
    <t xml:space="preserve">Advertiser</t>
  </si>
  <si>
    <t xml:space="preserve">Example Brand</t>
  </si>
  <si>
    <t xml:space="preserve">Default landing page URL</t>
  </si>
  <si>
    <t xml:space="preserve">https://www.example.com/offer</t>
  </si>
  <si>
    <t xml:space="preserve">Advertiser's destination; a URL that already has a ? gets &amp; appended.</t>
  </si>
  <si>
    <t xml:space="preserve">utm_id</t>
  </si>
  <si>
    <t xml:space="preserve">Campaign ID — optional; use the same ID as any GA4 campaign-data upload (e.g. the IO/SO number).</t>
  </si>
  <si>
    <t xml:space="preserve">utm_source</t>
  </si>
  <si>
    <t xml:space="preserve">newsweek</t>
  </si>
  <si>
    <t xml:space="preserve">Referrer.</t>
  </si>
  <si>
    <t xml:space="preserve">utm_medium</t>
  </si>
  <si>
    <t xml:space="preserve">display</t>
  </si>
  <si>
    <t xml:space="preserve">Marketing medium (banner/display).</t>
  </si>
  <si>
    <t xml:space="preserve">utm_campaign</t>
  </si>
  <si>
    <t xml:space="preserve">example_brand_fall_2026</t>
  </si>
  <si>
    <t xml:space="preserve">Product, slogan or promo.</t>
  </si>
  <si>
    <t xml:space="preserve">utm_source_platform</t>
  </si>
  <si>
    <t xml:space="preserve">Google Ad Manager</t>
  </si>
  <si>
    <t xml:space="preserve">Platform directing the traffic — site-served via GAM.</t>
  </si>
  <si>
    <t xml:space="preserve">utm_creative_format</t>
  </si>
  <si>
    <t xml:space="preserve">Default creative type; override per row. Not reported in GA4 yet.</t>
  </si>
  <si>
    <t xml:space="preserve">utm_marketing_tactic</t>
  </si>
  <si>
    <t xml:space="preserve">prospecting</t>
  </si>
  <si>
    <t xml:space="preserve">Default targeting tactic; override per row. Not reported in GA4 yet.</t>
  </si>
  <si>
    <t xml:space="preserve">#</t>
  </si>
  <si>
    <t xml:space="preserve">GAM line item / placement</t>
  </si>
  <si>
    <t xml:space="preserve">Ad size</t>
  </si>
  <si>
    <t xml:space="preserve">Creative name</t>
  </si>
  <si>
    <t xml:space="preserve">Landing page URL (blank = default)</t>
  </si>
  <si>
    <t xml:space="preserve">utm_creative_format (blank = default)</t>
  </si>
  <si>
    <t xml:space="preserve">utm_marketing_tactic (blank = default)</t>
  </si>
  <si>
    <t xml:space="preserve">utm_term (optional)</t>
  </si>
  <si>
    <t xml:space="preserve">utm_content</t>
  </si>
  <si>
    <t xml:space="preserve">Tracking URL (click-through)</t>
  </si>
  <si>
    <t xml:space="preserve">Homepage takeover</t>
  </si>
  <si>
    <t xml:space="preserve">970x250</t>
  </si>
  <si>
    <t xml:space="preserve">ExampleBrand_Fall_970x250_v1</t>
  </si>
  <si>
    <t xml:space="preserve">Row 17 is an example — overwrite it. Values are lowercased with spaces→underscores (GA4 is case-sensitive). utm_content = creative name, else ad size. utm_creative_format / utm_marketing_tactic are not reported in GA4 yet but are passed through.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</si>
</sst>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1E1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1E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6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34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6" min="15" style="0" width="14"/>
    <col collapsed="false" customWidth="true" hidden="false" outlineLevel="0" max="17" min="17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6"/>
    </row>
    <row r="6" customFormat="false" ht="15" hidden="false" customHeight="false" outlineLevel="0" collapsed="false">
      <c r="A6" s="4" t="s">
        <v>5</v>
      </c>
      <c r="B6" s="5" t="s">
        <v>6</v>
      </c>
      <c r="C6" s="6" t="s">
        <v>7</v>
      </c>
    </row>
    <row r="7" customFormat="false" ht="15" hidden="false" customHeight="false" outlineLevel="0" collapsed="false">
      <c r="A7" s="4" t="s">
        <v>8</v>
      </c>
      <c r="B7" s="5"/>
      <c r="C7" s="6" t="s">
        <v>9</v>
      </c>
    </row>
    <row r="8" customFormat="false" ht="15" hidden="false" customHeight="false" outlineLevel="0" collapsed="false">
      <c r="A8" s="4" t="s">
        <v>10</v>
      </c>
      <c r="B8" s="5" t="s">
        <v>11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s">
        <v>14</v>
      </c>
      <c r="C9" s="6" t="s">
        <v>15</v>
      </c>
    </row>
    <row r="10" customFormat="false" ht="15" hidden="false" customHeight="false" outlineLevel="0" collapsed="false">
      <c r="A10" s="4" t="s">
        <v>16</v>
      </c>
      <c r="B10" s="5" t="s">
        <v>17</v>
      </c>
      <c r="C10" s="6" t="s">
        <v>18</v>
      </c>
    </row>
    <row r="11" customFormat="false" ht="15" hidden="false" customHeight="false" outlineLevel="0" collapsed="false">
      <c r="A11" s="4" t="s">
        <v>19</v>
      </c>
      <c r="B11" s="5" t="s">
        <v>20</v>
      </c>
      <c r="C11" s="6" t="s">
        <v>21</v>
      </c>
    </row>
    <row r="12" customFormat="false" ht="15" hidden="false" customHeight="false" outlineLevel="0" collapsed="false">
      <c r="A12" s="4" t="s">
        <v>22</v>
      </c>
      <c r="B12" s="5" t="s">
        <v>14</v>
      </c>
      <c r="C12" s="6" t="s">
        <v>23</v>
      </c>
    </row>
    <row r="13" customFormat="false" ht="15" hidden="false" customHeight="false" outlineLevel="0" collapsed="false">
      <c r="A13" s="4" t="s">
        <v>24</v>
      </c>
      <c r="B13" s="5" t="s">
        <v>25</v>
      </c>
      <c r="C13" s="6" t="s">
        <v>26</v>
      </c>
    </row>
    <row r="16" customFormat="false" ht="31.5" hidden="false" customHeight="true" outlineLevel="0" collapsed="false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7" t="s">
        <v>32</v>
      </c>
      <c r="G16" s="7" t="s">
        <v>33</v>
      </c>
      <c r="H16" s="7" t="s">
        <v>34</v>
      </c>
      <c r="I16" s="7" t="s">
        <v>8</v>
      </c>
      <c r="J16" s="7" t="s">
        <v>10</v>
      </c>
      <c r="K16" s="7" t="s">
        <v>13</v>
      </c>
      <c r="L16" s="7" t="s">
        <v>16</v>
      </c>
      <c r="M16" s="7" t="s">
        <v>19</v>
      </c>
      <c r="N16" s="7" t="s">
        <v>35</v>
      </c>
      <c r="O16" s="7" t="s">
        <v>22</v>
      </c>
      <c r="P16" s="7" t="s">
        <v>24</v>
      </c>
      <c r="Q16" s="7" t="s">
        <v>36</v>
      </c>
    </row>
    <row r="17" customFormat="false" ht="15" hidden="false" customHeight="false" outlineLevel="0" collapsed="false">
      <c r="A17" s="8" t="n">
        <f aca="false">IF(B17="","",ROW()-16)</f>
        <v>1</v>
      </c>
      <c r="B17" s="5" t="s">
        <v>37</v>
      </c>
      <c r="C17" s="5" t="s">
        <v>38</v>
      </c>
      <c r="D17" s="5" t="s">
        <v>39</v>
      </c>
      <c r="E17" s="5"/>
      <c r="F17" s="5"/>
      <c r="G17" s="5"/>
      <c r="H17" s="5"/>
      <c r="I17" s="8" t="str">
        <f aca="false">IF(OR($B17="",$B$7=""),"",LOWER(SUBSTITUTE(TRIM($B$7)," ","_")))</f>
        <v/>
      </c>
      <c r="J17" s="8" t="str">
        <f aca="false">IF($B17="","",LOWER(SUBSTITUTE(TRIM($B$8)," ","_")))</f>
        <v>newsweek</v>
      </c>
      <c r="K17" s="8" t="str">
        <f aca="false">IF($B17="","",LOWER(SUBSTITUTE(TRIM($B$9)," ","_")))</f>
        <v>display</v>
      </c>
      <c r="L17" s="8" t="str">
        <f aca="false">IF($B17="","",LOWER(SUBSTITUTE(TRIM($B$10)," ","_")))</f>
        <v>example_brand_fall_2026</v>
      </c>
      <c r="M17" s="8" t="str">
        <f aca="false">IF($B17="","",LOWER(SUBSTITUTE(TRIM($B$11)," ","_")))</f>
        <v>google_ad_manager</v>
      </c>
      <c r="N17" s="8" t="str">
        <f aca="false">IF($B17="","",LOWER(SUBSTITUTE(TRIM(IF(D17="",C17,D17))," ","_")))</f>
        <v>examplebrand_fall_970x250_v1</v>
      </c>
      <c r="O17" s="8" t="str">
        <f aca="false">IF($B17="","",LOWER(SUBSTITUTE(TRIM(IF(F17="",$B$12,F17))," ","_")))</f>
        <v>display</v>
      </c>
      <c r="P17" s="8" t="str">
        <f aca="false">IF($B17="","",LOWER(SUBSTITUTE(TRIM(IF(G17="",$B$13,G17))," ","_")))</f>
        <v>prospecting</v>
      </c>
      <c r="Q17" s="8" t="str">
        <f aca="false">IF(B17="","",TRIM(IF(E17="",$B$6,E17))&amp;IF(ISNUMBER(FIND("?",TRIM(IF(E17="",$B$6,E17)))),"&amp;","?")&amp;"utm_source="&amp;J17&amp;"&amp;utm_medium="&amp;K17&amp;"&amp;utm_campaign="&amp;L17&amp;IF(I17="","","&amp;utm_id="&amp;I17)&amp;IF(M17="","","&amp;utm_source_platform="&amp;M17)&amp;IF(H17="","","&amp;utm_term="&amp;LOWER(SUBSTITUTE(TRIM(H17)," ","_")))&amp;IF(N17="","","&amp;utm_content="&amp;N17)&amp;IF(O17="","","&amp;utm_creative_format="&amp;O17)&amp;IF(P17="","","&amp;utm_marketing_tactic="&amp;P17))</f>
        <v>https://www.example.com/offer?utm_source=newsweek&amp;utm_medium=display&amp;utm_campaign=example_brand_fall_2026&amp;utm_source_platform=google_ad_manager&amp;utm_content=examplebrand_fall_970x250_v1&amp;utm_creative_format=display&amp;utm_marketing_tactic=prospecting</v>
      </c>
    </row>
    <row r="18" customFormat="false" ht="15" hidden="false" customHeight="false" outlineLevel="0" collapsed="false">
      <c r="A18" s="8" t="str">
        <f aca="false">IF(B18="","",ROW()-16)</f>
        <v/>
      </c>
      <c r="B18" s="5"/>
      <c r="C18" s="5"/>
      <c r="D18" s="5"/>
      <c r="E18" s="5"/>
      <c r="F18" s="5"/>
      <c r="G18" s="5"/>
      <c r="H18" s="5"/>
      <c r="I18" s="8" t="str">
        <f aca="false">IF(OR($B18="",$B$7=""),"",LOWER(SUBSTITUTE(TRIM($B$7)," ","_")))</f>
        <v/>
      </c>
      <c r="J18" s="8" t="str">
        <f aca="false">IF($B18="","",LOWER(SUBSTITUTE(TRIM($B$8)," ","_")))</f>
        <v/>
      </c>
      <c r="K18" s="8" t="str">
        <f aca="false">IF($B18="","",LOWER(SUBSTITUTE(TRIM($B$9)," ","_")))</f>
        <v/>
      </c>
      <c r="L18" s="8" t="str">
        <f aca="false">IF($B18="","",LOWER(SUBSTITUTE(TRIM($B$10)," ","_")))</f>
        <v/>
      </c>
      <c r="M18" s="8" t="str">
        <f aca="false">IF($B18="","",LOWER(SUBSTITUTE(TRIM($B$11)," ","_")))</f>
        <v/>
      </c>
      <c r="N18" s="8" t="str">
        <f aca="false">IF($B18="","",LOWER(SUBSTITUTE(TRIM(IF(D18="",C18,D18))," ","_")))</f>
        <v/>
      </c>
      <c r="O18" s="8" t="str">
        <f aca="false">IF($B18="","",LOWER(SUBSTITUTE(TRIM(IF(F18="",$B$12,F18))," ","_")))</f>
        <v/>
      </c>
      <c r="P18" s="8" t="str">
        <f aca="false">IF($B18="","",LOWER(SUBSTITUTE(TRIM(IF(G18="",$B$13,G18))," ","_")))</f>
        <v/>
      </c>
      <c r="Q18" s="8" t="str">
        <f aca="false">IF(B18="","",TRIM(IF(E18="",$B$6,E18))&amp;IF(ISNUMBER(FIND("?",TRIM(IF(E18="",$B$6,E18)))),"&amp;","?")&amp;"utm_source="&amp;J18&amp;"&amp;utm_medium="&amp;K18&amp;"&amp;utm_campaign="&amp;L18&amp;IF(I18="","","&amp;utm_id="&amp;I18)&amp;IF(M18="","","&amp;utm_source_platform="&amp;M18)&amp;IF(H18="","","&amp;utm_term="&amp;LOWER(SUBSTITUTE(TRIM(H18)," ","_")))&amp;IF(N18="","","&amp;utm_content="&amp;N18)&amp;IF(O18="","","&amp;utm_creative_format="&amp;O18)&amp;IF(P18="","","&amp;utm_marketing_tactic="&amp;P18))</f>
        <v/>
      </c>
    </row>
    <row r="19" customFormat="false" ht="15" hidden="false" customHeight="false" outlineLevel="0" collapsed="false">
      <c r="A19" s="8" t="str">
        <f aca="false">IF(B19="","",ROW()-16)</f>
        <v/>
      </c>
      <c r="B19" s="5"/>
      <c r="C19" s="5"/>
      <c r="D19" s="5"/>
      <c r="E19" s="5"/>
      <c r="F19" s="5"/>
      <c r="G19" s="5"/>
      <c r="H19" s="5"/>
      <c r="I19" s="8" t="str">
        <f aca="false">IF(OR($B19="",$B$7=""),"",LOWER(SUBSTITUTE(TRIM($B$7)," ","_")))</f>
        <v/>
      </c>
      <c r="J19" s="8" t="str">
        <f aca="false">IF($B19="","",LOWER(SUBSTITUTE(TRIM($B$8)," ","_")))</f>
        <v/>
      </c>
      <c r="K19" s="8" t="str">
        <f aca="false">IF($B19="","",LOWER(SUBSTITUTE(TRIM($B$9)," ","_")))</f>
        <v/>
      </c>
      <c r="L19" s="8" t="str">
        <f aca="false">IF($B19="","",LOWER(SUBSTITUTE(TRIM($B$10)," ","_")))</f>
        <v/>
      </c>
      <c r="M19" s="8" t="str">
        <f aca="false">IF($B19="","",LOWER(SUBSTITUTE(TRIM($B$11)," ","_")))</f>
        <v/>
      </c>
      <c r="N19" s="8" t="str">
        <f aca="false">IF($B19="","",LOWER(SUBSTITUTE(TRIM(IF(D19="",C19,D19))," ","_")))</f>
        <v/>
      </c>
      <c r="O19" s="8" t="str">
        <f aca="false">IF($B19="","",LOWER(SUBSTITUTE(TRIM(IF(F19="",$B$12,F19))," ","_")))</f>
        <v/>
      </c>
      <c r="P19" s="8" t="str">
        <f aca="false">IF($B19="","",LOWER(SUBSTITUTE(TRIM(IF(G19="",$B$13,G19))," ","_")))</f>
        <v/>
      </c>
      <c r="Q19" s="8" t="str">
        <f aca="false">IF(B19="","",TRIM(IF(E19="",$B$6,E19))&amp;IF(ISNUMBER(FIND("?",TRIM(IF(E19="",$B$6,E19)))),"&amp;","?")&amp;"utm_source="&amp;J19&amp;"&amp;utm_medium="&amp;K19&amp;"&amp;utm_campaign="&amp;L19&amp;IF(I19="","","&amp;utm_id="&amp;I19)&amp;IF(M19="","","&amp;utm_source_platform="&amp;M19)&amp;IF(H19="","","&amp;utm_term="&amp;LOWER(SUBSTITUTE(TRIM(H19)," ","_")))&amp;IF(N19="","","&amp;utm_content="&amp;N19)&amp;IF(O19="","","&amp;utm_creative_format="&amp;O19)&amp;IF(P19="","","&amp;utm_marketing_tactic="&amp;P19))</f>
        <v/>
      </c>
    </row>
    <row r="20" customFormat="false" ht="15" hidden="false" customHeight="false" outlineLevel="0" collapsed="false">
      <c r="A20" s="8" t="str">
        <f aca="false">IF(B20="","",ROW()-16)</f>
        <v/>
      </c>
      <c r="B20" s="5"/>
      <c r="C20" s="5"/>
      <c r="D20" s="5"/>
      <c r="E20" s="5"/>
      <c r="F20" s="5"/>
      <c r="G20" s="5"/>
      <c r="H20" s="5"/>
      <c r="I20" s="8" t="str">
        <f aca="false">IF(OR($B20="",$B$7=""),"",LOWER(SUBSTITUTE(TRIM($B$7)," ","_")))</f>
        <v/>
      </c>
      <c r="J20" s="8" t="str">
        <f aca="false">IF($B20="","",LOWER(SUBSTITUTE(TRIM($B$8)," ","_")))</f>
        <v/>
      </c>
      <c r="K20" s="8" t="str">
        <f aca="false">IF($B20="","",LOWER(SUBSTITUTE(TRIM($B$9)," ","_")))</f>
        <v/>
      </c>
      <c r="L20" s="8" t="str">
        <f aca="false">IF($B20="","",LOWER(SUBSTITUTE(TRIM($B$10)," ","_")))</f>
        <v/>
      </c>
      <c r="M20" s="8" t="str">
        <f aca="false">IF($B20="","",LOWER(SUBSTITUTE(TRIM($B$11)," ","_")))</f>
        <v/>
      </c>
      <c r="N20" s="8" t="str">
        <f aca="false">IF($B20="","",LOWER(SUBSTITUTE(TRIM(IF(D20="",C20,D20))," ","_")))</f>
        <v/>
      </c>
      <c r="O20" s="8" t="str">
        <f aca="false">IF($B20="","",LOWER(SUBSTITUTE(TRIM(IF(F20="",$B$12,F20))," ","_")))</f>
        <v/>
      </c>
      <c r="P20" s="8" t="str">
        <f aca="false">IF($B20="","",LOWER(SUBSTITUTE(TRIM(IF(G20="",$B$13,G20))," ","_")))</f>
        <v/>
      </c>
      <c r="Q20" s="8" t="str">
        <f aca="false">IF(B20="","",TRIM(IF(E20="",$B$6,E20))&amp;IF(ISNUMBER(FIND("?",TRIM(IF(E20="",$B$6,E20)))),"&amp;","?")&amp;"utm_source="&amp;J20&amp;"&amp;utm_medium="&amp;K20&amp;"&amp;utm_campaign="&amp;L20&amp;IF(I20="","","&amp;utm_id="&amp;I20)&amp;IF(M20="","","&amp;utm_source_platform="&amp;M20)&amp;IF(H20="","","&amp;utm_term="&amp;LOWER(SUBSTITUTE(TRIM(H20)," ","_")))&amp;IF(N20="","","&amp;utm_content="&amp;N20)&amp;IF(O20="","","&amp;utm_creative_format="&amp;O20)&amp;IF(P20="","","&amp;utm_marketing_tactic="&amp;P20))</f>
        <v/>
      </c>
    </row>
    <row r="21" customFormat="false" ht="15" hidden="false" customHeight="false" outlineLevel="0" collapsed="false">
      <c r="A21" s="8" t="str">
        <f aca="false">IF(B21="","",ROW()-16)</f>
        <v/>
      </c>
      <c r="B21" s="5"/>
      <c r="C21" s="5"/>
      <c r="D21" s="5"/>
      <c r="E21" s="5"/>
      <c r="F21" s="5"/>
      <c r="G21" s="5"/>
      <c r="H21" s="5"/>
      <c r="I21" s="8" t="str">
        <f aca="false">IF(OR($B21="",$B$7=""),"",LOWER(SUBSTITUTE(TRIM($B$7)," ","_")))</f>
        <v/>
      </c>
      <c r="J21" s="8" t="str">
        <f aca="false">IF($B21="","",LOWER(SUBSTITUTE(TRIM($B$8)," ","_")))</f>
        <v/>
      </c>
      <c r="K21" s="8" t="str">
        <f aca="false">IF($B21="","",LOWER(SUBSTITUTE(TRIM($B$9)," ","_")))</f>
        <v/>
      </c>
      <c r="L21" s="8" t="str">
        <f aca="false">IF($B21="","",LOWER(SUBSTITUTE(TRIM($B$10)," ","_")))</f>
        <v/>
      </c>
      <c r="M21" s="8" t="str">
        <f aca="false">IF($B21="","",LOWER(SUBSTITUTE(TRIM($B$11)," ","_")))</f>
        <v/>
      </c>
      <c r="N21" s="8" t="str">
        <f aca="false">IF($B21="","",LOWER(SUBSTITUTE(TRIM(IF(D21="",C21,D21))," ","_")))</f>
        <v/>
      </c>
      <c r="O21" s="8" t="str">
        <f aca="false">IF($B21="","",LOWER(SUBSTITUTE(TRIM(IF(F21="",$B$12,F21))," ","_")))</f>
        <v/>
      </c>
      <c r="P21" s="8" t="str">
        <f aca="false">IF($B21="","",LOWER(SUBSTITUTE(TRIM(IF(G21="",$B$13,G21))," ","_")))</f>
        <v/>
      </c>
      <c r="Q21" s="8" t="str">
        <f aca="false">IF(B21="","",TRIM(IF(E21="",$B$6,E21))&amp;IF(ISNUMBER(FIND("?",TRIM(IF(E21="",$B$6,E21)))),"&amp;","?")&amp;"utm_source="&amp;J21&amp;"&amp;utm_medium="&amp;K21&amp;"&amp;utm_campaign="&amp;L21&amp;IF(I21="","","&amp;utm_id="&amp;I21)&amp;IF(M21="","","&amp;utm_source_platform="&amp;M21)&amp;IF(H21="","","&amp;utm_term="&amp;LOWER(SUBSTITUTE(TRIM(H21)," ","_")))&amp;IF(N21="","","&amp;utm_content="&amp;N21)&amp;IF(O21="","","&amp;utm_creative_format="&amp;O21)&amp;IF(P21="","","&amp;utm_marketing_tactic="&amp;P21))</f>
        <v/>
      </c>
    </row>
    <row r="22" customFormat="false" ht="15" hidden="false" customHeight="false" outlineLevel="0" collapsed="false">
      <c r="A22" s="8" t="str">
        <f aca="false">IF(B22="","",ROW()-16)</f>
        <v/>
      </c>
      <c r="B22" s="5"/>
      <c r="C22" s="5"/>
      <c r="D22" s="5"/>
      <c r="E22" s="5"/>
      <c r="F22" s="5"/>
      <c r="G22" s="5"/>
      <c r="H22" s="5"/>
      <c r="I22" s="8" t="str">
        <f aca="false">IF(OR($B22="",$B$7=""),"",LOWER(SUBSTITUTE(TRIM($B$7)," ","_")))</f>
        <v/>
      </c>
      <c r="J22" s="8" t="str">
        <f aca="false">IF($B22="","",LOWER(SUBSTITUTE(TRIM($B$8)," ","_")))</f>
        <v/>
      </c>
      <c r="K22" s="8" t="str">
        <f aca="false">IF($B22="","",LOWER(SUBSTITUTE(TRIM($B$9)," ","_")))</f>
        <v/>
      </c>
      <c r="L22" s="8" t="str">
        <f aca="false">IF($B22="","",LOWER(SUBSTITUTE(TRIM($B$10)," ","_")))</f>
        <v/>
      </c>
      <c r="M22" s="8" t="str">
        <f aca="false">IF($B22="","",LOWER(SUBSTITUTE(TRIM($B$11)," ","_")))</f>
        <v/>
      </c>
      <c r="N22" s="8" t="str">
        <f aca="false">IF($B22="","",LOWER(SUBSTITUTE(TRIM(IF(D22="",C22,D22))," ","_")))</f>
        <v/>
      </c>
      <c r="O22" s="8" t="str">
        <f aca="false">IF($B22="","",LOWER(SUBSTITUTE(TRIM(IF(F22="",$B$12,F22))," ","_")))</f>
        <v/>
      </c>
      <c r="P22" s="8" t="str">
        <f aca="false">IF($B22="","",LOWER(SUBSTITUTE(TRIM(IF(G22="",$B$13,G22))," ","_")))</f>
        <v/>
      </c>
      <c r="Q22" s="8" t="str">
        <f aca="false">IF(B22="","",TRIM(IF(E22="",$B$6,E22))&amp;IF(ISNUMBER(FIND("?",TRIM(IF(E22="",$B$6,E22)))),"&amp;","?")&amp;"utm_source="&amp;J22&amp;"&amp;utm_medium="&amp;K22&amp;"&amp;utm_campaign="&amp;L22&amp;IF(I22="","","&amp;utm_id="&amp;I22)&amp;IF(M22="","","&amp;utm_source_platform="&amp;M22)&amp;IF(H22="","","&amp;utm_term="&amp;LOWER(SUBSTITUTE(TRIM(H22)," ","_")))&amp;IF(N22="","","&amp;utm_content="&amp;N22)&amp;IF(O22="","","&amp;utm_creative_format="&amp;O22)&amp;IF(P22="","","&amp;utm_marketing_tactic="&amp;P22))</f>
        <v/>
      </c>
    </row>
    <row r="23" customFormat="false" ht="15" hidden="false" customHeight="false" outlineLevel="0" collapsed="false">
      <c r="A23" s="8" t="str">
        <f aca="false">IF(B23="","",ROW()-16)</f>
        <v/>
      </c>
      <c r="B23" s="5"/>
      <c r="C23" s="5"/>
      <c r="D23" s="5"/>
      <c r="E23" s="5"/>
      <c r="F23" s="5"/>
      <c r="G23" s="5"/>
      <c r="H23" s="5"/>
      <c r="I23" s="8" t="str">
        <f aca="false">IF(OR($B23="",$B$7=""),"",LOWER(SUBSTITUTE(TRIM($B$7)," ","_")))</f>
        <v/>
      </c>
      <c r="J23" s="8" t="str">
        <f aca="false">IF($B23="","",LOWER(SUBSTITUTE(TRIM($B$8)," ","_")))</f>
        <v/>
      </c>
      <c r="K23" s="8" t="str">
        <f aca="false">IF($B23="","",LOWER(SUBSTITUTE(TRIM($B$9)," ","_")))</f>
        <v/>
      </c>
      <c r="L23" s="8" t="str">
        <f aca="false">IF($B23="","",LOWER(SUBSTITUTE(TRIM($B$10)," ","_")))</f>
        <v/>
      </c>
      <c r="M23" s="8" t="str">
        <f aca="false">IF($B23="","",LOWER(SUBSTITUTE(TRIM($B$11)," ","_")))</f>
        <v/>
      </c>
      <c r="N23" s="8" t="str">
        <f aca="false">IF($B23="","",LOWER(SUBSTITUTE(TRIM(IF(D23="",C23,D23))," ","_")))</f>
        <v/>
      </c>
      <c r="O23" s="8" t="str">
        <f aca="false">IF($B23="","",LOWER(SUBSTITUTE(TRIM(IF(F23="",$B$12,F23))," ","_")))</f>
        <v/>
      </c>
      <c r="P23" s="8" t="str">
        <f aca="false">IF($B23="","",LOWER(SUBSTITUTE(TRIM(IF(G23="",$B$13,G23))," ","_")))</f>
        <v/>
      </c>
      <c r="Q23" s="8" t="str">
        <f aca="false">IF(B23="","",TRIM(IF(E23="",$B$6,E23))&amp;IF(ISNUMBER(FIND("?",TRIM(IF(E23="",$B$6,E23)))),"&amp;","?")&amp;"utm_source="&amp;J23&amp;"&amp;utm_medium="&amp;K23&amp;"&amp;utm_campaign="&amp;L23&amp;IF(I23="","","&amp;utm_id="&amp;I23)&amp;IF(M23="","","&amp;utm_source_platform="&amp;M23)&amp;IF(H23="","","&amp;utm_term="&amp;LOWER(SUBSTITUTE(TRIM(H23)," ","_")))&amp;IF(N23="","","&amp;utm_content="&amp;N23)&amp;IF(O23="","","&amp;utm_creative_format="&amp;O23)&amp;IF(P23="","","&amp;utm_marketing_tactic="&amp;P23))</f>
        <v/>
      </c>
    </row>
    <row r="24" customFormat="false" ht="15" hidden="false" customHeight="false" outlineLevel="0" collapsed="false">
      <c r="A24" s="8" t="str">
        <f aca="false">IF(B24="","",ROW()-16)</f>
        <v/>
      </c>
      <c r="B24" s="5"/>
      <c r="C24" s="5"/>
      <c r="D24" s="5"/>
      <c r="E24" s="5"/>
      <c r="F24" s="5"/>
      <c r="G24" s="5"/>
      <c r="H24" s="5"/>
      <c r="I24" s="8" t="str">
        <f aca="false">IF(OR($B24="",$B$7=""),"",LOWER(SUBSTITUTE(TRIM($B$7)," ","_")))</f>
        <v/>
      </c>
      <c r="J24" s="8" t="str">
        <f aca="false">IF($B24="","",LOWER(SUBSTITUTE(TRIM($B$8)," ","_")))</f>
        <v/>
      </c>
      <c r="K24" s="8" t="str">
        <f aca="false">IF($B24="","",LOWER(SUBSTITUTE(TRIM($B$9)," ","_")))</f>
        <v/>
      </c>
      <c r="L24" s="8" t="str">
        <f aca="false">IF($B24="","",LOWER(SUBSTITUTE(TRIM($B$10)," ","_")))</f>
        <v/>
      </c>
      <c r="M24" s="8" t="str">
        <f aca="false">IF($B24="","",LOWER(SUBSTITUTE(TRIM($B$11)," ","_")))</f>
        <v/>
      </c>
      <c r="N24" s="8" t="str">
        <f aca="false">IF($B24="","",LOWER(SUBSTITUTE(TRIM(IF(D24="",C24,D24))," ","_")))</f>
        <v/>
      </c>
      <c r="O24" s="8" t="str">
        <f aca="false">IF($B24="","",LOWER(SUBSTITUTE(TRIM(IF(F24="",$B$12,F24))," ","_")))</f>
        <v/>
      </c>
      <c r="P24" s="8" t="str">
        <f aca="false">IF($B24="","",LOWER(SUBSTITUTE(TRIM(IF(G24="",$B$13,G24))," ","_")))</f>
        <v/>
      </c>
      <c r="Q24" s="8" t="str">
        <f aca="false">IF(B24="","",TRIM(IF(E24="",$B$6,E24))&amp;IF(ISNUMBER(FIND("?",TRIM(IF(E24="",$B$6,E24)))),"&amp;","?")&amp;"utm_source="&amp;J24&amp;"&amp;utm_medium="&amp;K24&amp;"&amp;utm_campaign="&amp;L24&amp;IF(I24="","","&amp;utm_id="&amp;I24)&amp;IF(M24="","","&amp;utm_source_platform="&amp;M24)&amp;IF(H24="","","&amp;utm_term="&amp;LOWER(SUBSTITUTE(TRIM(H24)," ","_")))&amp;IF(N24="","","&amp;utm_content="&amp;N24)&amp;IF(O24="","","&amp;utm_creative_format="&amp;O24)&amp;IF(P24="","","&amp;utm_marketing_tactic="&amp;P24))</f>
        <v/>
      </c>
    </row>
    <row r="25" customFormat="false" ht="15" hidden="false" customHeight="false" outlineLevel="0" collapsed="false">
      <c r="A25" s="8" t="str">
        <f aca="false">IF(B25="","",ROW()-16)</f>
        <v/>
      </c>
      <c r="B25" s="5"/>
      <c r="C25" s="5"/>
      <c r="D25" s="5"/>
      <c r="E25" s="5"/>
      <c r="F25" s="5"/>
      <c r="G25" s="5"/>
      <c r="H25" s="5"/>
      <c r="I25" s="8" t="str">
        <f aca="false">IF(OR($B25="",$B$7=""),"",LOWER(SUBSTITUTE(TRIM($B$7)," ","_")))</f>
        <v/>
      </c>
      <c r="J25" s="8" t="str">
        <f aca="false">IF($B25="","",LOWER(SUBSTITUTE(TRIM($B$8)," ","_")))</f>
        <v/>
      </c>
      <c r="K25" s="8" t="str">
        <f aca="false">IF($B25="","",LOWER(SUBSTITUTE(TRIM($B$9)," ","_")))</f>
        <v/>
      </c>
      <c r="L25" s="8" t="str">
        <f aca="false">IF($B25="","",LOWER(SUBSTITUTE(TRIM($B$10)," ","_")))</f>
        <v/>
      </c>
      <c r="M25" s="8" t="str">
        <f aca="false">IF($B25="","",LOWER(SUBSTITUTE(TRIM($B$11)," ","_")))</f>
        <v/>
      </c>
      <c r="N25" s="8" t="str">
        <f aca="false">IF($B25="","",LOWER(SUBSTITUTE(TRIM(IF(D25="",C25,D25))," ","_")))</f>
        <v/>
      </c>
      <c r="O25" s="8" t="str">
        <f aca="false">IF($B25="","",LOWER(SUBSTITUTE(TRIM(IF(F25="",$B$12,F25))," ","_")))</f>
        <v/>
      </c>
      <c r="P25" s="8" t="str">
        <f aca="false">IF($B25="","",LOWER(SUBSTITUTE(TRIM(IF(G25="",$B$13,G25))," ","_")))</f>
        <v/>
      </c>
      <c r="Q25" s="8" t="str">
        <f aca="false">IF(B25="","",TRIM(IF(E25="",$B$6,E25))&amp;IF(ISNUMBER(FIND("?",TRIM(IF(E25="",$B$6,E25)))),"&amp;","?")&amp;"utm_source="&amp;J25&amp;"&amp;utm_medium="&amp;K25&amp;"&amp;utm_campaign="&amp;L25&amp;IF(I25="","","&amp;utm_id="&amp;I25)&amp;IF(M25="","","&amp;utm_source_platform="&amp;M25)&amp;IF(H25="","","&amp;utm_term="&amp;LOWER(SUBSTITUTE(TRIM(H25)," ","_")))&amp;IF(N25="","","&amp;utm_content="&amp;N25)&amp;IF(O25="","","&amp;utm_creative_format="&amp;O25)&amp;IF(P25="","","&amp;utm_marketing_tactic="&amp;P25))</f>
        <v/>
      </c>
    </row>
    <row r="26" customFormat="false" ht="15" hidden="false" customHeight="false" outlineLevel="0" collapsed="false">
      <c r="A26" s="8" t="str">
        <f aca="false">IF(B26="","",ROW()-16)</f>
        <v/>
      </c>
      <c r="B26" s="5"/>
      <c r="C26" s="5"/>
      <c r="D26" s="5"/>
      <c r="E26" s="5"/>
      <c r="F26" s="5"/>
      <c r="G26" s="5"/>
      <c r="H26" s="5"/>
      <c r="I26" s="8" t="str">
        <f aca="false">IF(OR($B26="",$B$7=""),"",LOWER(SUBSTITUTE(TRIM($B$7)," ","_")))</f>
        <v/>
      </c>
      <c r="J26" s="8" t="str">
        <f aca="false">IF($B26="","",LOWER(SUBSTITUTE(TRIM($B$8)," ","_")))</f>
        <v/>
      </c>
      <c r="K26" s="8" t="str">
        <f aca="false">IF($B26="","",LOWER(SUBSTITUTE(TRIM($B$9)," ","_")))</f>
        <v/>
      </c>
      <c r="L26" s="8" t="str">
        <f aca="false">IF($B26="","",LOWER(SUBSTITUTE(TRIM($B$10)," ","_")))</f>
        <v/>
      </c>
      <c r="M26" s="8" t="str">
        <f aca="false">IF($B26="","",LOWER(SUBSTITUTE(TRIM($B$11)," ","_")))</f>
        <v/>
      </c>
      <c r="N26" s="8" t="str">
        <f aca="false">IF($B26="","",LOWER(SUBSTITUTE(TRIM(IF(D26="",C26,D26))," ","_")))</f>
        <v/>
      </c>
      <c r="O26" s="8" t="str">
        <f aca="false">IF($B26="","",LOWER(SUBSTITUTE(TRIM(IF(F26="",$B$12,F26))," ","_")))</f>
        <v/>
      </c>
      <c r="P26" s="8" t="str">
        <f aca="false">IF($B26="","",LOWER(SUBSTITUTE(TRIM(IF(G26="",$B$13,G26))," ","_")))</f>
        <v/>
      </c>
      <c r="Q26" s="8" t="str">
        <f aca="false">IF(B26="","",TRIM(IF(E26="",$B$6,E26))&amp;IF(ISNUMBER(FIND("?",TRIM(IF(E26="",$B$6,E26)))),"&amp;","?")&amp;"utm_source="&amp;J26&amp;"&amp;utm_medium="&amp;K26&amp;"&amp;utm_campaign="&amp;L26&amp;IF(I26="","","&amp;utm_id="&amp;I26)&amp;IF(M26="","","&amp;utm_source_platform="&amp;M26)&amp;IF(H26="","","&amp;utm_term="&amp;LOWER(SUBSTITUTE(TRIM(H26)," ","_")))&amp;IF(N26="","","&amp;utm_content="&amp;N26)&amp;IF(O26="","","&amp;utm_creative_format="&amp;O26)&amp;IF(P26="","","&amp;utm_marketing_tactic="&amp;P26))</f>
        <v/>
      </c>
    </row>
    <row r="27" customFormat="false" ht="15" hidden="false" customHeight="false" outlineLevel="0" collapsed="false">
      <c r="A27" s="8" t="str">
        <f aca="false">IF(B27="","",ROW()-16)</f>
        <v/>
      </c>
      <c r="B27" s="5"/>
      <c r="C27" s="5"/>
      <c r="D27" s="5"/>
      <c r="E27" s="5"/>
      <c r="F27" s="5"/>
      <c r="G27" s="5"/>
      <c r="H27" s="5"/>
      <c r="I27" s="8" t="str">
        <f aca="false">IF(OR($B27="",$B$7=""),"",LOWER(SUBSTITUTE(TRIM($B$7)," ","_")))</f>
        <v/>
      </c>
      <c r="J27" s="8" t="str">
        <f aca="false">IF($B27="","",LOWER(SUBSTITUTE(TRIM($B$8)," ","_")))</f>
        <v/>
      </c>
      <c r="K27" s="8" t="str">
        <f aca="false">IF($B27="","",LOWER(SUBSTITUTE(TRIM($B$9)," ","_")))</f>
        <v/>
      </c>
      <c r="L27" s="8" t="str">
        <f aca="false">IF($B27="","",LOWER(SUBSTITUTE(TRIM($B$10)," ","_")))</f>
        <v/>
      </c>
      <c r="M27" s="8" t="str">
        <f aca="false">IF($B27="","",LOWER(SUBSTITUTE(TRIM($B$11)," ","_")))</f>
        <v/>
      </c>
      <c r="N27" s="8" t="str">
        <f aca="false">IF($B27="","",LOWER(SUBSTITUTE(TRIM(IF(D27="",C27,D27))," ","_")))</f>
        <v/>
      </c>
      <c r="O27" s="8" t="str">
        <f aca="false">IF($B27="","",LOWER(SUBSTITUTE(TRIM(IF(F27="",$B$12,F27))," ","_")))</f>
        <v/>
      </c>
      <c r="P27" s="8" t="str">
        <f aca="false">IF($B27="","",LOWER(SUBSTITUTE(TRIM(IF(G27="",$B$13,G27))," ","_")))</f>
        <v/>
      </c>
      <c r="Q27" s="8" t="str">
        <f aca="false">IF(B27="","",TRIM(IF(E27="",$B$6,E27))&amp;IF(ISNUMBER(FIND("?",TRIM(IF(E27="",$B$6,E27)))),"&amp;","?")&amp;"utm_source="&amp;J27&amp;"&amp;utm_medium="&amp;K27&amp;"&amp;utm_campaign="&amp;L27&amp;IF(I27="","","&amp;utm_id="&amp;I27)&amp;IF(M27="","","&amp;utm_source_platform="&amp;M27)&amp;IF(H27="","","&amp;utm_term="&amp;LOWER(SUBSTITUTE(TRIM(H27)," ","_")))&amp;IF(N27="","","&amp;utm_content="&amp;N27)&amp;IF(O27="","","&amp;utm_creative_format="&amp;O27)&amp;IF(P27="","","&amp;utm_marketing_tactic="&amp;P27))</f>
        <v/>
      </c>
    </row>
    <row r="28" customFormat="false" ht="15" hidden="false" customHeight="false" outlineLevel="0" collapsed="false">
      <c r="A28" s="8" t="str">
        <f aca="false">IF(B28="","",ROW()-16)</f>
        <v/>
      </c>
      <c r="B28" s="5"/>
      <c r="C28" s="5"/>
      <c r="D28" s="5"/>
      <c r="E28" s="5"/>
      <c r="F28" s="5"/>
      <c r="G28" s="5"/>
      <c r="H28" s="5"/>
      <c r="I28" s="8" t="str">
        <f aca="false">IF(OR($B28="",$B$7=""),"",LOWER(SUBSTITUTE(TRIM($B$7)," ","_")))</f>
        <v/>
      </c>
      <c r="J28" s="8" t="str">
        <f aca="false">IF($B28="","",LOWER(SUBSTITUTE(TRIM($B$8)," ","_")))</f>
        <v/>
      </c>
      <c r="K28" s="8" t="str">
        <f aca="false">IF($B28="","",LOWER(SUBSTITUTE(TRIM($B$9)," ","_")))</f>
        <v/>
      </c>
      <c r="L28" s="8" t="str">
        <f aca="false">IF($B28="","",LOWER(SUBSTITUTE(TRIM($B$10)," ","_")))</f>
        <v/>
      </c>
      <c r="M28" s="8" t="str">
        <f aca="false">IF($B28="","",LOWER(SUBSTITUTE(TRIM($B$11)," ","_")))</f>
        <v/>
      </c>
      <c r="N28" s="8" t="str">
        <f aca="false">IF($B28="","",LOWER(SUBSTITUTE(TRIM(IF(D28="",C28,D28))," ","_")))</f>
        <v/>
      </c>
      <c r="O28" s="8" t="str">
        <f aca="false">IF($B28="","",LOWER(SUBSTITUTE(TRIM(IF(F28="",$B$12,F28))," ","_")))</f>
        <v/>
      </c>
      <c r="P28" s="8" t="str">
        <f aca="false">IF($B28="","",LOWER(SUBSTITUTE(TRIM(IF(G28="",$B$13,G28))," ","_")))</f>
        <v/>
      </c>
      <c r="Q28" s="8" t="str">
        <f aca="false">IF(B28="","",TRIM(IF(E28="",$B$6,E28))&amp;IF(ISNUMBER(FIND("?",TRIM(IF(E28="",$B$6,E28)))),"&amp;","?")&amp;"utm_source="&amp;J28&amp;"&amp;utm_medium="&amp;K28&amp;"&amp;utm_campaign="&amp;L28&amp;IF(I28="","","&amp;utm_id="&amp;I28)&amp;IF(M28="","","&amp;utm_source_platform="&amp;M28)&amp;IF(H28="","","&amp;utm_term="&amp;LOWER(SUBSTITUTE(TRIM(H28)," ","_")))&amp;IF(N28="","","&amp;utm_content="&amp;N28)&amp;IF(O28="","","&amp;utm_creative_format="&amp;O28)&amp;IF(P28="","","&amp;utm_marketing_tactic="&amp;P28))</f>
        <v/>
      </c>
    </row>
    <row r="29" customFormat="false" ht="15" hidden="false" customHeight="false" outlineLevel="0" collapsed="false">
      <c r="A29" s="8" t="str">
        <f aca="false">IF(B29="","",ROW()-16)</f>
        <v/>
      </c>
      <c r="B29" s="5"/>
      <c r="C29" s="5"/>
      <c r="D29" s="5"/>
      <c r="E29" s="5"/>
      <c r="F29" s="5"/>
      <c r="G29" s="5"/>
      <c r="H29" s="5"/>
      <c r="I29" s="8" t="str">
        <f aca="false">IF(OR($B29="",$B$7=""),"",LOWER(SUBSTITUTE(TRIM($B$7)," ","_")))</f>
        <v/>
      </c>
      <c r="J29" s="8" t="str">
        <f aca="false">IF($B29="","",LOWER(SUBSTITUTE(TRIM($B$8)," ","_")))</f>
        <v/>
      </c>
      <c r="K29" s="8" t="str">
        <f aca="false">IF($B29="","",LOWER(SUBSTITUTE(TRIM($B$9)," ","_")))</f>
        <v/>
      </c>
      <c r="L29" s="8" t="str">
        <f aca="false">IF($B29="","",LOWER(SUBSTITUTE(TRIM($B$10)," ","_")))</f>
        <v/>
      </c>
      <c r="M29" s="8" t="str">
        <f aca="false">IF($B29="","",LOWER(SUBSTITUTE(TRIM($B$11)," ","_")))</f>
        <v/>
      </c>
      <c r="N29" s="8" t="str">
        <f aca="false">IF($B29="","",LOWER(SUBSTITUTE(TRIM(IF(D29="",C29,D29))," ","_")))</f>
        <v/>
      </c>
      <c r="O29" s="8" t="str">
        <f aca="false">IF($B29="","",LOWER(SUBSTITUTE(TRIM(IF(F29="",$B$12,F29))," ","_")))</f>
        <v/>
      </c>
      <c r="P29" s="8" t="str">
        <f aca="false">IF($B29="","",LOWER(SUBSTITUTE(TRIM(IF(G29="",$B$13,G29))," ","_")))</f>
        <v/>
      </c>
      <c r="Q29" s="8" t="str">
        <f aca="false">IF(B29="","",TRIM(IF(E29="",$B$6,E29))&amp;IF(ISNUMBER(FIND("?",TRIM(IF(E29="",$B$6,E29)))),"&amp;","?")&amp;"utm_source="&amp;J29&amp;"&amp;utm_medium="&amp;K29&amp;"&amp;utm_campaign="&amp;L29&amp;IF(I29="","","&amp;utm_id="&amp;I29)&amp;IF(M29="","","&amp;utm_source_platform="&amp;M29)&amp;IF(H29="","","&amp;utm_term="&amp;LOWER(SUBSTITUTE(TRIM(H29)," ","_")))&amp;IF(N29="","","&amp;utm_content="&amp;N29)&amp;IF(O29="","","&amp;utm_creative_format="&amp;O29)&amp;IF(P29="","","&amp;utm_marketing_tactic="&amp;P29))</f>
        <v/>
      </c>
    </row>
    <row r="30" customFormat="false" ht="15" hidden="false" customHeight="false" outlineLevel="0" collapsed="false">
      <c r="A30" s="8" t="str">
        <f aca="false">IF(B30="","",ROW()-16)</f>
        <v/>
      </c>
      <c r="B30" s="5"/>
      <c r="C30" s="5"/>
      <c r="D30" s="5"/>
      <c r="E30" s="5"/>
      <c r="F30" s="5"/>
      <c r="G30" s="5"/>
      <c r="H30" s="5"/>
      <c r="I30" s="8" t="str">
        <f aca="false">IF(OR($B30="",$B$7=""),"",LOWER(SUBSTITUTE(TRIM($B$7)," ","_")))</f>
        <v/>
      </c>
      <c r="J30" s="8" t="str">
        <f aca="false">IF($B30="","",LOWER(SUBSTITUTE(TRIM($B$8)," ","_")))</f>
        <v/>
      </c>
      <c r="K30" s="8" t="str">
        <f aca="false">IF($B30="","",LOWER(SUBSTITUTE(TRIM($B$9)," ","_")))</f>
        <v/>
      </c>
      <c r="L30" s="8" t="str">
        <f aca="false">IF($B30="","",LOWER(SUBSTITUTE(TRIM($B$10)," ","_")))</f>
        <v/>
      </c>
      <c r="M30" s="8" t="str">
        <f aca="false">IF($B30="","",LOWER(SUBSTITUTE(TRIM($B$11)," ","_")))</f>
        <v/>
      </c>
      <c r="N30" s="8" t="str">
        <f aca="false">IF($B30="","",LOWER(SUBSTITUTE(TRIM(IF(D30="",C30,D30))," ","_")))</f>
        <v/>
      </c>
      <c r="O30" s="8" t="str">
        <f aca="false">IF($B30="","",LOWER(SUBSTITUTE(TRIM(IF(F30="",$B$12,F30))," ","_")))</f>
        <v/>
      </c>
      <c r="P30" s="8" t="str">
        <f aca="false">IF($B30="","",LOWER(SUBSTITUTE(TRIM(IF(G30="",$B$13,G30))," ","_")))</f>
        <v/>
      </c>
      <c r="Q30" s="8" t="str">
        <f aca="false">IF(B30="","",TRIM(IF(E30="",$B$6,E30))&amp;IF(ISNUMBER(FIND("?",TRIM(IF(E30="",$B$6,E30)))),"&amp;","?")&amp;"utm_source="&amp;J30&amp;"&amp;utm_medium="&amp;K30&amp;"&amp;utm_campaign="&amp;L30&amp;IF(I30="","","&amp;utm_id="&amp;I30)&amp;IF(M30="","","&amp;utm_source_platform="&amp;M30)&amp;IF(H30="","","&amp;utm_term="&amp;LOWER(SUBSTITUTE(TRIM(H30)," ","_")))&amp;IF(N30="","","&amp;utm_content="&amp;N30)&amp;IF(O30="","","&amp;utm_creative_format="&amp;O30)&amp;IF(P30="","","&amp;utm_marketing_tactic="&amp;P30))</f>
        <v/>
      </c>
    </row>
    <row r="31" customFormat="false" ht="15" hidden="false" customHeight="false" outlineLevel="0" collapsed="false">
      <c r="A31" s="8" t="str">
        <f aca="false">IF(B31="","",ROW()-16)</f>
        <v/>
      </c>
      <c r="B31" s="5"/>
      <c r="C31" s="5"/>
      <c r="D31" s="5"/>
      <c r="E31" s="5"/>
      <c r="F31" s="5"/>
      <c r="G31" s="5"/>
      <c r="H31" s="5"/>
      <c r="I31" s="8" t="str">
        <f aca="false">IF(OR($B31="",$B$7=""),"",LOWER(SUBSTITUTE(TRIM($B$7)," ","_")))</f>
        <v/>
      </c>
      <c r="J31" s="8" t="str">
        <f aca="false">IF($B31="","",LOWER(SUBSTITUTE(TRIM($B$8)," ","_")))</f>
        <v/>
      </c>
      <c r="K31" s="8" t="str">
        <f aca="false">IF($B31="","",LOWER(SUBSTITUTE(TRIM($B$9)," ","_")))</f>
        <v/>
      </c>
      <c r="L31" s="8" t="str">
        <f aca="false">IF($B31="","",LOWER(SUBSTITUTE(TRIM($B$10)," ","_")))</f>
        <v/>
      </c>
      <c r="M31" s="8" t="str">
        <f aca="false">IF($B31="","",LOWER(SUBSTITUTE(TRIM($B$11)," ","_")))</f>
        <v/>
      </c>
      <c r="N31" s="8" t="str">
        <f aca="false">IF($B31="","",LOWER(SUBSTITUTE(TRIM(IF(D31="",C31,D31))," ","_")))</f>
        <v/>
      </c>
      <c r="O31" s="8" t="str">
        <f aca="false">IF($B31="","",LOWER(SUBSTITUTE(TRIM(IF(F31="",$B$12,F31))," ","_")))</f>
        <v/>
      </c>
      <c r="P31" s="8" t="str">
        <f aca="false">IF($B31="","",LOWER(SUBSTITUTE(TRIM(IF(G31="",$B$13,G31))," ","_")))</f>
        <v/>
      </c>
      <c r="Q31" s="8" t="str">
        <f aca="false">IF(B31="","",TRIM(IF(E31="",$B$6,E31))&amp;IF(ISNUMBER(FIND("?",TRIM(IF(E31="",$B$6,E31)))),"&amp;","?")&amp;"utm_source="&amp;J31&amp;"&amp;utm_medium="&amp;K31&amp;"&amp;utm_campaign="&amp;L31&amp;IF(I31="","","&amp;utm_id="&amp;I31)&amp;IF(M31="","","&amp;utm_source_platform="&amp;M31)&amp;IF(H31="","","&amp;utm_term="&amp;LOWER(SUBSTITUTE(TRIM(H31)," ","_")))&amp;IF(N31="","","&amp;utm_content="&amp;N31)&amp;IF(O31="","","&amp;utm_creative_format="&amp;O31)&amp;IF(P31="","","&amp;utm_marketing_tactic="&amp;P31))</f>
        <v/>
      </c>
    </row>
    <row r="32" customFormat="false" ht="15" hidden="false" customHeight="false" outlineLevel="0" collapsed="false">
      <c r="A32" s="8" t="str">
        <f aca="false">IF(B32="","",ROW()-16)</f>
        <v/>
      </c>
      <c r="B32" s="5"/>
      <c r="C32" s="5"/>
      <c r="D32" s="5"/>
      <c r="E32" s="5"/>
      <c r="F32" s="5"/>
      <c r="G32" s="5"/>
      <c r="H32" s="5"/>
      <c r="I32" s="8" t="str">
        <f aca="false">IF(OR($B32="",$B$7=""),"",LOWER(SUBSTITUTE(TRIM($B$7)," ","_")))</f>
        <v/>
      </c>
      <c r="J32" s="8" t="str">
        <f aca="false">IF($B32="","",LOWER(SUBSTITUTE(TRIM($B$8)," ","_")))</f>
        <v/>
      </c>
      <c r="K32" s="8" t="str">
        <f aca="false">IF($B32="","",LOWER(SUBSTITUTE(TRIM($B$9)," ","_")))</f>
        <v/>
      </c>
      <c r="L32" s="8" t="str">
        <f aca="false">IF($B32="","",LOWER(SUBSTITUTE(TRIM($B$10)," ","_")))</f>
        <v/>
      </c>
      <c r="M32" s="8" t="str">
        <f aca="false">IF($B32="","",LOWER(SUBSTITUTE(TRIM($B$11)," ","_")))</f>
        <v/>
      </c>
      <c r="N32" s="8" t="str">
        <f aca="false">IF($B32="","",LOWER(SUBSTITUTE(TRIM(IF(D32="",C32,D32))," ","_")))</f>
        <v/>
      </c>
      <c r="O32" s="8" t="str">
        <f aca="false">IF($B32="","",LOWER(SUBSTITUTE(TRIM(IF(F32="",$B$12,F32))," ","_")))</f>
        <v/>
      </c>
      <c r="P32" s="8" t="str">
        <f aca="false">IF($B32="","",LOWER(SUBSTITUTE(TRIM(IF(G32="",$B$13,G32))," ","_")))</f>
        <v/>
      </c>
      <c r="Q32" s="8" t="str">
        <f aca="false">IF(B32="","",TRIM(IF(E32="",$B$6,E32))&amp;IF(ISNUMBER(FIND("?",TRIM(IF(E32="",$B$6,E32)))),"&amp;","?")&amp;"utm_source="&amp;J32&amp;"&amp;utm_medium="&amp;K32&amp;"&amp;utm_campaign="&amp;L32&amp;IF(I32="","","&amp;utm_id="&amp;I32)&amp;IF(M32="","","&amp;utm_source_platform="&amp;M32)&amp;IF(H32="","","&amp;utm_term="&amp;LOWER(SUBSTITUTE(TRIM(H32)," ","_")))&amp;IF(N32="","","&amp;utm_content="&amp;N32)&amp;IF(O32="","","&amp;utm_creative_format="&amp;O32)&amp;IF(P32="","","&amp;utm_marketing_tactic="&amp;P32))</f>
        <v/>
      </c>
    </row>
    <row r="33" customFormat="false" ht="15" hidden="false" customHeight="false" outlineLevel="0" collapsed="false">
      <c r="A33" s="8" t="str">
        <f aca="false">IF(B33="","",ROW()-16)</f>
        <v/>
      </c>
      <c r="B33" s="5"/>
      <c r="C33" s="5"/>
      <c r="D33" s="5"/>
      <c r="E33" s="5"/>
      <c r="F33" s="5"/>
      <c r="G33" s="5"/>
      <c r="H33" s="5"/>
      <c r="I33" s="8" t="str">
        <f aca="false">IF(OR($B33="",$B$7=""),"",LOWER(SUBSTITUTE(TRIM($B$7)," ","_")))</f>
        <v/>
      </c>
      <c r="J33" s="8" t="str">
        <f aca="false">IF($B33="","",LOWER(SUBSTITUTE(TRIM($B$8)," ","_")))</f>
        <v/>
      </c>
      <c r="K33" s="8" t="str">
        <f aca="false">IF($B33="","",LOWER(SUBSTITUTE(TRIM($B$9)," ","_")))</f>
        <v/>
      </c>
      <c r="L33" s="8" t="str">
        <f aca="false">IF($B33="","",LOWER(SUBSTITUTE(TRIM($B$10)," ","_")))</f>
        <v/>
      </c>
      <c r="M33" s="8" t="str">
        <f aca="false">IF($B33="","",LOWER(SUBSTITUTE(TRIM($B$11)," ","_")))</f>
        <v/>
      </c>
      <c r="N33" s="8" t="str">
        <f aca="false">IF($B33="","",LOWER(SUBSTITUTE(TRIM(IF(D33="",C33,D33))," ","_")))</f>
        <v/>
      </c>
      <c r="O33" s="8" t="str">
        <f aca="false">IF($B33="","",LOWER(SUBSTITUTE(TRIM(IF(F33="",$B$12,F33))," ","_")))</f>
        <v/>
      </c>
      <c r="P33" s="8" t="str">
        <f aca="false">IF($B33="","",LOWER(SUBSTITUTE(TRIM(IF(G33="",$B$13,G33))," ","_")))</f>
        <v/>
      </c>
      <c r="Q33" s="8" t="str">
        <f aca="false">IF(B33="","",TRIM(IF(E33="",$B$6,E33))&amp;IF(ISNUMBER(FIND("?",TRIM(IF(E33="",$B$6,E33)))),"&amp;","?")&amp;"utm_source="&amp;J33&amp;"&amp;utm_medium="&amp;K33&amp;"&amp;utm_campaign="&amp;L33&amp;IF(I33="","","&amp;utm_id="&amp;I33)&amp;IF(M33="","","&amp;utm_source_platform="&amp;M33)&amp;IF(H33="","","&amp;utm_term="&amp;LOWER(SUBSTITUTE(TRIM(H33)," ","_")))&amp;IF(N33="","","&amp;utm_content="&amp;N33)&amp;IF(O33="","","&amp;utm_creative_format="&amp;O33)&amp;IF(P33="","","&amp;utm_marketing_tactic="&amp;P33))</f>
        <v/>
      </c>
    </row>
    <row r="34" customFormat="false" ht="15" hidden="false" customHeight="false" outlineLevel="0" collapsed="false">
      <c r="A34" s="8" t="str">
        <f aca="false">IF(B34="","",ROW()-16)</f>
        <v/>
      </c>
      <c r="B34" s="5"/>
      <c r="C34" s="5"/>
      <c r="D34" s="5"/>
      <c r="E34" s="5"/>
      <c r="F34" s="5"/>
      <c r="G34" s="5"/>
      <c r="H34" s="5"/>
      <c r="I34" s="8" t="str">
        <f aca="false">IF(OR($B34="",$B$7=""),"",LOWER(SUBSTITUTE(TRIM($B$7)," ","_")))</f>
        <v/>
      </c>
      <c r="J34" s="8" t="str">
        <f aca="false">IF($B34="","",LOWER(SUBSTITUTE(TRIM($B$8)," ","_")))</f>
        <v/>
      </c>
      <c r="K34" s="8" t="str">
        <f aca="false">IF($B34="","",LOWER(SUBSTITUTE(TRIM($B$9)," ","_")))</f>
        <v/>
      </c>
      <c r="L34" s="8" t="str">
        <f aca="false">IF($B34="","",LOWER(SUBSTITUTE(TRIM($B$10)," ","_")))</f>
        <v/>
      </c>
      <c r="M34" s="8" t="str">
        <f aca="false">IF($B34="","",LOWER(SUBSTITUTE(TRIM($B$11)," ","_")))</f>
        <v/>
      </c>
      <c r="N34" s="8" t="str">
        <f aca="false">IF($B34="","",LOWER(SUBSTITUTE(TRIM(IF(D34="",C34,D34))," ","_")))</f>
        <v/>
      </c>
      <c r="O34" s="8" t="str">
        <f aca="false">IF($B34="","",LOWER(SUBSTITUTE(TRIM(IF(F34="",$B$12,F34))," ","_")))</f>
        <v/>
      </c>
      <c r="P34" s="8" t="str">
        <f aca="false">IF($B34="","",LOWER(SUBSTITUTE(TRIM(IF(G34="",$B$13,G34))," ","_")))</f>
        <v/>
      </c>
      <c r="Q34" s="8" t="str">
        <f aca="false">IF(B34="","",TRIM(IF(E34="",$B$6,E34))&amp;IF(ISNUMBER(FIND("?",TRIM(IF(E34="",$B$6,E34)))),"&amp;","?")&amp;"utm_source="&amp;J34&amp;"&amp;utm_medium="&amp;K34&amp;"&amp;utm_campaign="&amp;L34&amp;IF(I34="","","&amp;utm_id="&amp;I34)&amp;IF(M34="","","&amp;utm_source_platform="&amp;M34)&amp;IF(H34="","","&amp;utm_term="&amp;LOWER(SUBSTITUTE(TRIM(H34)," ","_")))&amp;IF(N34="","","&amp;utm_content="&amp;N34)&amp;IF(O34="","","&amp;utm_creative_format="&amp;O34)&amp;IF(P34="","","&amp;utm_marketing_tactic="&amp;P34))</f>
        <v/>
      </c>
    </row>
    <row r="35" customFormat="false" ht="15" hidden="false" customHeight="false" outlineLevel="0" collapsed="false">
      <c r="A35" s="8" t="str">
        <f aca="false">IF(B35="","",ROW()-16)</f>
        <v/>
      </c>
      <c r="B35" s="5"/>
      <c r="C35" s="5"/>
      <c r="D35" s="5"/>
      <c r="E35" s="5"/>
      <c r="F35" s="5"/>
      <c r="G35" s="5"/>
      <c r="H35" s="5"/>
      <c r="I35" s="8" t="str">
        <f aca="false">IF(OR($B35="",$B$7=""),"",LOWER(SUBSTITUTE(TRIM($B$7)," ","_")))</f>
        <v/>
      </c>
      <c r="J35" s="8" t="str">
        <f aca="false">IF($B35="","",LOWER(SUBSTITUTE(TRIM($B$8)," ","_")))</f>
        <v/>
      </c>
      <c r="K35" s="8" t="str">
        <f aca="false">IF($B35="","",LOWER(SUBSTITUTE(TRIM($B$9)," ","_")))</f>
        <v/>
      </c>
      <c r="L35" s="8" t="str">
        <f aca="false">IF($B35="","",LOWER(SUBSTITUTE(TRIM($B$10)," ","_")))</f>
        <v/>
      </c>
      <c r="M35" s="8" t="str">
        <f aca="false">IF($B35="","",LOWER(SUBSTITUTE(TRIM($B$11)," ","_")))</f>
        <v/>
      </c>
      <c r="N35" s="8" t="str">
        <f aca="false">IF($B35="","",LOWER(SUBSTITUTE(TRIM(IF(D35="",C35,D35))," ","_")))</f>
        <v/>
      </c>
      <c r="O35" s="8" t="str">
        <f aca="false">IF($B35="","",LOWER(SUBSTITUTE(TRIM(IF(F35="",$B$12,F35))," ","_")))</f>
        <v/>
      </c>
      <c r="P35" s="8" t="str">
        <f aca="false">IF($B35="","",LOWER(SUBSTITUTE(TRIM(IF(G35="",$B$13,G35))," ","_")))</f>
        <v/>
      </c>
      <c r="Q35" s="8" t="str">
        <f aca="false">IF(B35="","",TRIM(IF(E35="",$B$6,E35))&amp;IF(ISNUMBER(FIND("?",TRIM(IF(E35="",$B$6,E35)))),"&amp;","?")&amp;"utm_source="&amp;J35&amp;"&amp;utm_medium="&amp;K35&amp;"&amp;utm_campaign="&amp;L35&amp;IF(I35="","","&amp;utm_id="&amp;I35)&amp;IF(M35="","","&amp;utm_source_platform="&amp;M35)&amp;IF(H35="","","&amp;utm_term="&amp;LOWER(SUBSTITUTE(TRIM(H35)," ","_")))&amp;IF(N35="","","&amp;utm_content="&amp;N35)&amp;IF(O35="","","&amp;utm_creative_format="&amp;O35)&amp;IF(P35="","","&amp;utm_marketing_tactic="&amp;P35))</f>
        <v/>
      </c>
    </row>
    <row r="36" customFormat="false" ht="15" hidden="false" customHeight="false" outlineLevel="0" collapsed="false">
      <c r="A36" s="8" t="str">
        <f aca="false">IF(B36="","",ROW()-16)</f>
        <v/>
      </c>
      <c r="B36" s="5"/>
      <c r="C36" s="5"/>
      <c r="D36" s="5"/>
      <c r="E36" s="5"/>
      <c r="F36" s="5"/>
      <c r="G36" s="5"/>
      <c r="H36" s="5"/>
      <c r="I36" s="8" t="str">
        <f aca="false">IF(OR($B36="",$B$7=""),"",LOWER(SUBSTITUTE(TRIM($B$7)," ","_")))</f>
        <v/>
      </c>
      <c r="J36" s="8" t="str">
        <f aca="false">IF($B36="","",LOWER(SUBSTITUTE(TRIM($B$8)," ","_")))</f>
        <v/>
      </c>
      <c r="K36" s="8" t="str">
        <f aca="false">IF($B36="","",LOWER(SUBSTITUTE(TRIM($B$9)," ","_")))</f>
        <v/>
      </c>
      <c r="L36" s="8" t="str">
        <f aca="false">IF($B36="","",LOWER(SUBSTITUTE(TRIM($B$10)," ","_")))</f>
        <v/>
      </c>
      <c r="M36" s="8" t="str">
        <f aca="false">IF($B36="","",LOWER(SUBSTITUTE(TRIM($B$11)," ","_")))</f>
        <v/>
      </c>
      <c r="N36" s="8" t="str">
        <f aca="false">IF($B36="","",LOWER(SUBSTITUTE(TRIM(IF(D36="",C36,D36))," ","_")))</f>
        <v/>
      </c>
      <c r="O36" s="8" t="str">
        <f aca="false">IF($B36="","",LOWER(SUBSTITUTE(TRIM(IF(F36="",$B$12,F36))," ","_")))</f>
        <v/>
      </c>
      <c r="P36" s="8" t="str">
        <f aca="false">IF($B36="","",LOWER(SUBSTITUTE(TRIM(IF(G36="",$B$13,G36))," ","_")))</f>
        <v/>
      </c>
      <c r="Q36" s="8" t="str">
        <f aca="false">IF(B36="","",TRIM(IF(E36="",$B$6,E36))&amp;IF(ISNUMBER(FIND("?",TRIM(IF(E36="",$B$6,E36)))),"&amp;","?")&amp;"utm_source="&amp;J36&amp;"&amp;utm_medium="&amp;K36&amp;"&amp;utm_campaign="&amp;L36&amp;IF(I36="","","&amp;utm_id="&amp;I36)&amp;IF(M36="","","&amp;utm_source_platform="&amp;M36)&amp;IF(H36="","","&amp;utm_term="&amp;LOWER(SUBSTITUTE(TRIM(H36)," ","_")))&amp;IF(N36="","","&amp;utm_content="&amp;N36)&amp;IF(O36="","","&amp;utm_creative_format="&amp;O36)&amp;IF(P36="","","&amp;utm_marketing_tactic="&amp;P36))</f>
        <v/>
      </c>
    </row>
    <row r="37" customFormat="false" ht="15" hidden="false" customHeight="false" outlineLevel="0" collapsed="false">
      <c r="A37" s="8" t="str">
        <f aca="false">IF(B37="","",ROW()-16)</f>
        <v/>
      </c>
      <c r="B37" s="5"/>
      <c r="C37" s="5"/>
      <c r="D37" s="5"/>
      <c r="E37" s="5"/>
      <c r="F37" s="5"/>
      <c r="G37" s="5"/>
      <c r="H37" s="5"/>
      <c r="I37" s="8" t="str">
        <f aca="false">IF(OR($B37="",$B$7=""),"",LOWER(SUBSTITUTE(TRIM($B$7)," ","_")))</f>
        <v/>
      </c>
      <c r="J37" s="8" t="str">
        <f aca="false">IF($B37="","",LOWER(SUBSTITUTE(TRIM($B$8)," ","_")))</f>
        <v/>
      </c>
      <c r="K37" s="8" t="str">
        <f aca="false">IF($B37="","",LOWER(SUBSTITUTE(TRIM($B$9)," ","_")))</f>
        <v/>
      </c>
      <c r="L37" s="8" t="str">
        <f aca="false">IF($B37="","",LOWER(SUBSTITUTE(TRIM($B$10)," ","_")))</f>
        <v/>
      </c>
      <c r="M37" s="8" t="str">
        <f aca="false">IF($B37="","",LOWER(SUBSTITUTE(TRIM($B$11)," ","_")))</f>
        <v/>
      </c>
      <c r="N37" s="8" t="str">
        <f aca="false">IF($B37="","",LOWER(SUBSTITUTE(TRIM(IF(D37="",C37,D37))," ","_")))</f>
        <v/>
      </c>
      <c r="O37" s="8" t="str">
        <f aca="false">IF($B37="","",LOWER(SUBSTITUTE(TRIM(IF(F37="",$B$12,F37))," ","_")))</f>
        <v/>
      </c>
      <c r="P37" s="8" t="str">
        <f aca="false">IF($B37="","",LOWER(SUBSTITUTE(TRIM(IF(G37="",$B$13,G37))," ","_")))</f>
        <v/>
      </c>
      <c r="Q37" s="8" t="str">
        <f aca="false">IF(B37="","",TRIM(IF(E37="",$B$6,E37))&amp;IF(ISNUMBER(FIND("?",TRIM(IF(E37="",$B$6,E37)))),"&amp;","?")&amp;"utm_source="&amp;J37&amp;"&amp;utm_medium="&amp;K37&amp;"&amp;utm_campaign="&amp;L37&amp;IF(I37="","","&amp;utm_id="&amp;I37)&amp;IF(M37="","","&amp;utm_source_platform="&amp;M37)&amp;IF(H37="","","&amp;utm_term="&amp;LOWER(SUBSTITUTE(TRIM(H37)," ","_")))&amp;IF(N37="","","&amp;utm_content="&amp;N37)&amp;IF(O37="","","&amp;utm_creative_format="&amp;O37)&amp;IF(P37="","","&amp;utm_marketing_tactic="&amp;P37))</f>
        <v/>
      </c>
    </row>
    <row r="38" customFormat="false" ht="15" hidden="false" customHeight="false" outlineLevel="0" collapsed="false">
      <c r="A38" s="8" t="str">
        <f aca="false">IF(B38="","",ROW()-16)</f>
        <v/>
      </c>
      <c r="B38" s="5"/>
      <c r="C38" s="5"/>
      <c r="D38" s="5"/>
      <c r="E38" s="5"/>
      <c r="F38" s="5"/>
      <c r="G38" s="5"/>
      <c r="H38" s="5"/>
      <c r="I38" s="8" t="str">
        <f aca="false">IF(OR($B38="",$B$7=""),"",LOWER(SUBSTITUTE(TRIM($B$7)," ","_")))</f>
        <v/>
      </c>
      <c r="J38" s="8" t="str">
        <f aca="false">IF($B38="","",LOWER(SUBSTITUTE(TRIM($B$8)," ","_")))</f>
        <v/>
      </c>
      <c r="K38" s="8" t="str">
        <f aca="false">IF($B38="","",LOWER(SUBSTITUTE(TRIM($B$9)," ","_")))</f>
        <v/>
      </c>
      <c r="L38" s="8" t="str">
        <f aca="false">IF($B38="","",LOWER(SUBSTITUTE(TRIM($B$10)," ","_")))</f>
        <v/>
      </c>
      <c r="M38" s="8" t="str">
        <f aca="false">IF($B38="","",LOWER(SUBSTITUTE(TRIM($B$11)," ","_")))</f>
        <v/>
      </c>
      <c r="N38" s="8" t="str">
        <f aca="false">IF($B38="","",LOWER(SUBSTITUTE(TRIM(IF(D38="",C38,D38))," ","_")))</f>
        <v/>
      </c>
      <c r="O38" s="8" t="str">
        <f aca="false">IF($B38="","",LOWER(SUBSTITUTE(TRIM(IF(F38="",$B$12,F38))," ","_")))</f>
        <v/>
      </c>
      <c r="P38" s="8" t="str">
        <f aca="false">IF($B38="","",LOWER(SUBSTITUTE(TRIM(IF(G38="",$B$13,G38))," ","_")))</f>
        <v/>
      </c>
      <c r="Q38" s="8" t="str">
        <f aca="false">IF(B38="","",TRIM(IF(E38="",$B$6,E38))&amp;IF(ISNUMBER(FIND("?",TRIM(IF(E38="",$B$6,E38)))),"&amp;","?")&amp;"utm_source="&amp;J38&amp;"&amp;utm_medium="&amp;K38&amp;"&amp;utm_campaign="&amp;L38&amp;IF(I38="","","&amp;utm_id="&amp;I38)&amp;IF(M38="","","&amp;utm_source_platform="&amp;M38)&amp;IF(H38="","","&amp;utm_term="&amp;LOWER(SUBSTITUTE(TRIM(H38)," ","_")))&amp;IF(N38="","","&amp;utm_content="&amp;N38)&amp;IF(O38="","","&amp;utm_creative_format="&amp;O38)&amp;IF(P38="","","&amp;utm_marketing_tactic="&amp;P38))</f>
        <v/>
      </c>
    </row>
    <row r="39" customFormat="false" ht="15" hidden="false" customHeight="false" outlineLevel="0" collapsed="false">
      <c r="A39" s="8" t="str">
        <f aca="false">IF(B39="","",ROW()-16)</f>
        <v/>
      </c>
      <c r="B39" s="5"/>
      <c r="C39" s="5"/>
      <c r="D39" s="5"/>
      <c r="E39" s="5"/>
      <c r="F39" s="5"/>
      <c r="G39" s="5"/>
      <c r="H39" s="5"/>
      <c r="I39" s="8" t="str">
        <f aca="false">IF(OR($B39="",$B$7=""),"",LOWER(SUBSTITUTE(TRIM($B$7)," ","_")))</f>
        <v/>
      </c>
      <c r="J39" s="8" t="str">
        <f aca="false">IF($B39="","",LOWER(SUBSTITUTE(TRIM($B$8)," ","_")))</f>
        <v/>
      </c>
      <c r="K39" s="8" t="str">
        <f aca="false">IF($B39="","",LOWER(SUBSTITUTE(TRIM($B$9)," ","_")))</f>
        <v/>
      </c>
      <c r="L39" s="8" t="str">
        <f aca="false">IF($B39="","",LOWER(SUBSTITUTE(TRIM($B$10)," ","_")))</f>
        <v/>
      </c>
      <c r="M39" s="8" t="str">
        <f aca="false">IF($B39="","",LOWER(SUBSTITUTE(TRIM($B$11)," ","_")))</f>
        <v/>
      </c>
      <c r="N39" s="8" t="str">
        <f aca="false">IF($B39="","",LOWER(SUBSTITUTE(TRIM(IF(D39="",C39,D39))," ","_")))</f>
        <v/>
      </c>
      <c r="O39" s="8" t="str">
        <f aca="false">IF($B39="","",LOWER(SUBSTITUTE(TRIM(IF(F39="",$B$12,F39))," ","_")))</f>
        <v/>
      </c>
      <c r="P39" s="8" t="str">
        <f aca="false">IF($B39="","",LOWER(SUBSTITUTE(TRIM(IF(G39="",$B$13,G39))," ","_")))</f>
        <v/>
      </c>
      <c r="Q39" s="8" t="str">
        <f aca="false">IF(B39="","",TRIM(IF(E39="",$B$6,E39))&amp;IF(ISNUMBER(FIND("?",TRIM(IF(E39="",$B$6,E39)))),"&amp;","?")&amp;"utm_source="&amp;J39&amp;"&amp;utm_medium="&amp;K39&amp;"&amp;utm_campaign="&amp;L39&amp;IF(I39="","","&amp;utm_id="&amp;I39)&amp;IF(M39="","","&amp;utm_source_platform="&amp;M39)&amp;IF(H39="","","&amp;utm_term="&amp;LOWER(SUBSTITUTE(TRIM(H39)," ","_")))&amp;IF(N39="","","&amp;utm_content="&amp;N39)&amp;IF(O39="","","&amp;utm_creative_format="&amp;O39)&amp;IF(P39="","","&amp;utm_marketing_tactic="&amp;P39))</f>
        <v/>
      </c>
    </row>
    <row r="40" customFormat="false" ht="15" hidden="false" customHeight="false" outlineLevel="0" collapsed="false">
      <c r="A40" s="8" t="str">
        <f aca="false">IF(B40="","",ROW()-16)</f>
        <v/>
      </c>
      <c r="B40" s="5"/>
      <c r="C40" s="5"/>
      <c r="D40" s="5"/>
      <c r="E40" s="5"/>
      <c r="F40" s="5"/>
      <c r="G40" s="5"/>
      <c r="H40" s="5"/>
      <c r="I40" s="8" t="str">
        <f aca="false">IF(OR($B40="",$B$7=""),"",LOWER(SUBSTITUTE(TRIM($B$7)," ","_")))</f>
        <v/>
      </c>
      <c r="J40" s="8" t="str">
        <f aca="false">IF($B40="","",LOWER(SUBSTITUTE(TRIM($B$8)," ","_")))</f>
        <v/>
      </c>
      <c r="K40" s="8" t="str">
        <f aca="false">IF($B40="","",LOWER(SUBSTITUTE(TRIM($B$9)," ","_")))</f>
        <v/>
      </c>
      <c r="L40" s="8" t="str">
        <f aca="false">IF($B40="","",LOWER(SUBSTITUTE(TRIM($B$10)," ","_")))</f>
        <v/>
      </c>
      <c r="M40" s="8" t="str">
        <f aca="false">IF($B40="","",LOWER(SUBSTITUTE(TRIM($B$11)," ","_")))</f>
        <v/>
      </c>
      <c r="N40" s="8" t="str">
        <f aca="false">IF($B40="","",LOWER(SUBSTITUTE(TRIM(IF(D40="",C40,D40))," ","_")))</f>
        <v/>
      </c>
      <c r="O40" s="8" t="str">
        <f aca="false">IF($B40="","",LOWER(SUBSTITUTE(TRIM(IF(F40="",$B$12,F40))," ","_")))</f>
        <v/>
      </c>
      <c r="P40" s="8" t="str">
        <f aca="false">IF($B40="","",LOWER(SUBSTITUTE(TRIM(IF(G40="",$B$13,G40))," ","_")))</f>
        <v/>
      </c>
      <c r="Q40" s="8" t="str">
        <f aca="false">IF(B40="","",TRIM(IF(E40="",$B$6,E40))&amp;IF(ISNUMBER(FIND("?",TRIM(IF(E40="",$B$6,E40)))),"&amp;","?")&amp;"utm_source="&amp;J40&amp;"&amp;utm_medium="&amp;K40&amp;"&amp;utm_campaign="&amp;L40&amp;IF(I40="","","&amp;utm_id="&amp;I40)&amp;IF(M40="","","&amp;utm_source_platform="&amp;M40)&amp;IF(H40="","","&amp;utm_term="&amp;LOWER(SUBSTITUTE(TRIM(H40)," ","_")))&amp;IF(N40="","","&amp;utm_content="&amp;N40)&amp;IF(O40="","","&amp;utm_creative_format="&amp;O40)&amp;IF(P40="","","&amp;utm_marketing_tactic="&amp;P40))</f>
        <v/>
      </c>
    </row>
    <row r="41" customFormat="false" ht="15" hidden="false" customHeight="false" outlineLevel="0" collapsed="false">
      <c r="A41" s="8" t="str">
        <f aca="false">IF(B41="","",ROW()-16)</f>
        <v/>
      </c>
      <c r="B41" s="5"/>
      <c r="C41" s="5"/>
      <c r="D41" s="5"/>
      <c r="E41" s="5"/>
      <c r="F41" s="5"/>
      <c r="G41" s="5"/>
      <c r="H41" s="5"/>
      <c r="I41" s="8" t="str">
        <f aca="false">IF(OR($B41="",$B$7=""),"",LOWER(SUBSTITUTE(TRIM($B$7)," ","_")))</f>
        <v/>
      </c>
      <c r="J41" s="8" t="str">
        <f aca="false">IF($B41="","",LOWER(SUBSTITUTE(TRIM($B$8)," ","_")))</f>
        <v/>
      </c>
      <c r="K41" s="8" t="str">
        <f aca="false">IF($B41="","",LOWER(SUBSTITUTE(TRIM($B$9)," ","_")))</f>
        <v/>
      </c>
      <c r="L41" s="8" t="str">
        <f aca="false">IF($B41="","",LOWER(SUBSTITUTE(TRIM($B$10)," ","_")))</f>
        <v/>
      </c>
      <c r="M41" s="8" t="str">
        <f aca="false">IF($B41="","",LOWER(SUBSTITUTE(TRIM($B$11)," ","_")))</f>
        <v/>
      </c>
      <c r="N41" s="8" t="str">
        <f aca="false">IF($B41="","",LOWER(SUBSTITUTE(TRIM(IF(D41="",C41,D41))," ","_")))</f>
        <v/>
      </c>
      <c r="O41" s="8" t="str">
        <f aca="false">IF($B41="","",LOWER(SUBSTITUTE(TRIM(IF(F41="",$B$12,F41))," ","_")))</f>
        <v/>
      </c>
      <c r="P41" s="8" t="str">
        <f aca="false">IF($B41="","",LOWER(SUBSTITUTE(TRIM(IF(G41="",$B$13,G41))," ","_")))</f>
        <v/>
      </c>
      <c r="Q41" s="8" t="str">
        <f aca="false">IF(B41="","",TRIM(IF(E41="",$B$6,E41))&amp;IF(ISNUMBER(FIND("?",TRIM(IF(E41="",$B$6,E41)))),"&amp;","?")&amp;"utm_source="&amp;J41&amp;"&amp;utm_medium="&amp;K41&amp;"&amp;utm_campaign="&amp;L41&amp;IF(I41="","","&amp;utm_id="&amp;I41)&amp;IF(M41="","","&amp;utm_source_platform="&amp;M41)&amp;IF(H41="","","&amp;utm_term="&amp;LOWER(SUBSTITUTE(TRIM(H41)," ","_")))&amp;IF(N41="","","&amp;utm_content="&amp;N41)&amp;IF(O41="","","&amp;utm_creative_format="&amp;O41)&amp;IF(P41="","","&amp;utm_marketing_tactic="&amp;P41))</f>
        <v/>
      </c>
    </row>
    <row r="42" customFormat="false" ht="15" hidden="false" customHeight="false" outlineLevel="0" collapsed="false">
      <c r="A42" s="8" t="str">
        <f aca="false">IF(B42="","",ROW()-16)</f>
        <v/>
      </c>
      <c r="B42" s="5"/>
      <c r="C42" s="5"/>
      <c r="D42" s="5"/>
      <c r="E42" s="5"/>
      <c r="F42" s="5"/>
      <c r="G42" s="5"/>
      <c r="H42" s="5"/>
      <c r="I42" s="8" t="str">
        <f aca="false">IF(OR($B42="",$B$7=""),"",LOWER(SUBSTITUTE(TRIM($B$7)," ","_")))</f>
        <v/>
      </c>
      <c r="J42" s="8" t="str">
        <f aca="false">IF($B42="","",LOWER(SUBSTITUTE(TRIM($B$8)," ","_")))</f>
        <v/>
      </c>
      <c r="K42" s="8" t="str">
        <f aca="false">IF($B42="","",LOWER(SUBSTITUTE(TRIM($B$9)," ","_")))</f>
        <v/>
      </c>
      <c r="L42" s="8" t="str">
        <f aca="false">IF($B42="","",LOWER(SUBSTITUTE(TRIM($B$10)," ","_")))</f>
        <v/>
      </c>
      <c r="M42" s="8" t="str">
        <f aca="false">IF($B42="","",LOWER(SUBSTITUTE(TRIM($B$11)," ","_")))</f>
        <v/>
      </c>
      <c r="N42" s="8" t="str">
        <f aca="false">IF($B42="","",LOWER(SUBSTITUTE(TRIM(IF(D42="",C42,D42))," ","_")))</f>
        <v/>
      </c>
      <c r="O42" s="8" t="str">
        <f aca="false">IF($B42="","",LOWER(SUBSTITUTE(TRIM(IF(F42="",$B$12,F42))," ","_")))</f>
        <v/>
      </c>
      <c r="P42" s="8" t="str">
        <f aca="false">IF($B42="","",LOWER(SUBSTITUTE(TRIM(IF(G42="",$B$13,G42))," ","_")))</f>
        <v/>
      </c>
      <c r="Q42" s="8" t="str">
        <f aca="false">IF(B42="","",TRIM(IF(E42="",$B$6,E42))&amp;IF(ISNUMBER(FIND("?",TRIM(IF(E42="",$B$6,E42)))),"&amp;","?")&amp;"utm_source="&amp;J42&amp;"&amp;utm_medium="&amp;K42&amp;"&amp;utm_campaign="&amp;L42&amp;IF(I42="","","&amp;utm_id="&amp;I42)&amp;IF(M42="","","&amp;utm_source_platform="&amp;M42)&amp;IF(H42="","","&amp;utm_term="&amp;LOWER(SUBSTITUTE(TRIM(H42)," ","_")))&amp;IF(N42="","","&amp;utm_content="&amp;N42)&amp;IF(O42="","","&amp;utm_creative_format="&amp;O42)&amp;IF(P42="","","&amp;utm_marketing_tactic="&amp;P42))</f>
        <v/>
      </c>
    </row>
    <row r="43" customFormat="false" ht="15" hidden="false" customHeight="false" outlineLevel="0" collapsed="false">
      <c r="A43" s="8" t="str">
        <f aca="false">IF(B43="","",ROW()-16)</f>
        <v/>
      </c>
      <c r="B43" s="5"/>
      <c r="C43" s="5"/>
      <c r="D43" s="5"/>
      <c r="E43" s="5"/>
      <c r="F43" s="5"/>
      <c r="G43" s="5"/>
      <c r="H43" s="5"/>
      <c r="I43" s="8" t="str">
        <f aca="false">IF(OR($B43="",$B$7=""),"",LOWER(SUBSTITUTE(TRIM($B$7)," ","_")))</f>
        <v/>
      </c>
      <c r="J43" s="8" t="str">
        <f aca="false">IF($B43="","",LOWER(SUBSTITUTE(TRIM($B$8)," ","_")))</f>
        <v/>
      </c>
      <c r="K43" s="8" t="str">
        <f aca="false">IF($B43="","",LOWER(SUBSTITUTE(TRIM($B$9)," ","_")))</f>
        <v/>
      </c>
      <c r="L43" s="8" t="str">
        <f aca="false">IF($B43="","",LOWER(SUBSTITUTE(TRIM($B$10)," ","_")))</f>
        <v/>
      </c>
      <c r="M43" s="8" t="str">
        <f aca="false">IF($B43="","",LOWER(SUBSTITUTE(TRIM($B$11)," ","_")))</f>
        <v/>
      </c>
      <c r="N43" s="8" t="str">
        <f aca="false">IF($B43="","",LOWER(SUBSTITUTE(TRIM(IF(D43="",C43,D43))," ","_")))</f>
        <v/>
      </c>
      <c r="O43" s="8" t="str">
        <f aca="false">IF($B43="","",LOWER(SUBSTITUTE(TRIM(IF(F43="",$B$12,F43))," ","_")))</f>
        <v/>
      </c>
      <c r="P43" s="8" t="str">
        <f aca="false">IF($B43="","",LOWER(SUBSTITUTE(TRIM(IF(G43="",$B$13,G43))," ","_")))</f>
        <v/>
      </c>
      <c r="Q43" s="8" t="str">
        <f aca="false">IF(B43="","",TRIM(IF(E43="",$B$6,E43))&amp;IF(ISNUMBER(FIND("?",TRIM(IF(E43="",$B$6,E43)))),"&amp;","?")&amp;"utm_source="&amp;J43&amp;"&amp;utm_medium="&amp;K43&amp;"&amp;utm_campaign="&amp;L43&amp;IF(I43="","","&amp;utm_id="&amp;I43)&amp;IF(M43="","","&amp;utm_source_platform="&amp;M43)&amp;IF(H43="","","&amp;utm_term="&amp;LOWER(SUBSTITUTE(TRIM(H43)," ","_")))&amp;IF(N43="","","&amp;utm_content="&amp;N43)&amp;IF(O43="","","&amp;utm_creative_format="&amp;O43)&amp;IF(P43="","","&amp;utm_marketing_tactic="&amp;P43))</f>
        <v/>
      </c>
    </row>
    <row r="44" customFormat="false" ht="15" hidden="false" customHeight="false" outlineLevel="0" collapsed="false">
      <c r="A44" s="8" t="str">
        <f aca="false">IF(B44="","",ROW()-16)</f>
        <v/>
      </c>
      <c r="B44" s="5"/>
      <c r="C44" s="5"/>
      <c r="D44" s="5"/>
      <c r="E44" s="5"/>
      <c r="F44" s="5"/>
      <c r="G44" s="5"/>
      <c r="H44" s="5"/>
      <c r="I44" s="8" t="str">
        <f aca="false">IF(OR($B44="",$B$7=""),"",LOWER(SUBSTITUTE(TRIM($B$7)," ","_")))</f>
        <v/>
      </c>
      <c r="J44" s="8" t="str">
        <f aca="false">IF($B44="","",LOWER(SUBSTITUTE(TRIM($B$8)," ","_")))</f>
        <v/>
      </c>
      <c r="K44" s="8" t="str">
        <f aca="false">IF($B44="","",LOWER(SUBSTITUTE(TRIM($B$9)," ","_")))</f>
        <v/>
      </c>
      <c r="L44" s="8" t="str">
        <f aca="false">IF($B44="","",LOWER(SUBSTITUTE(TRIM($B$10)," ","_")))</f>
        <v/>
      </c>
      <c r="M44" s="8" t="str">
        <f aca="false">IF($B44="","",LOWER(SUBSTITUTE(TRIM($B$11)," ","_")))</f>
        <v/>
      </c>
      <c r="N44" s="8" t="str">
        <f aca="false">IF($B44="","",LOWER(SUBSTITUTE(TRIM(IF(D44="",C44,D44))," ","_")))</f>
        <v/>
      </c>
      <c r="O44" s="8" t="str">
        <f aca="false">IF($B44="","",LOWER(SUBSTITUTE(TRIM(IF(F44="",$B$12,F44))," ","_")))</f>
        <v/>
      </c>
      <c r="P44" s="8" t="str">
        <f aca="false">IF($B44="","",LOWER(SUBSTITUTE(TRIM(IF(G44="",$B$13,G44))," ","_")))</f>
        <v/>
      </c>
      <c r="Q44" s="8" t="str">
        <f aca="false">IF(B44="","",TRIM(IF(E44="",$B$6,E44))&amp;IF(ISNUMBER(FIND("?",TRIM(IF(E44="",$B$6,E44)))),"&amp;","?")&amp;"utm_source="&amp;J44&amp;"&amp;utm_medium="&amp;K44&amp;"&amp;utm_campaign="&amp;L44&amp;IF(I44="","","&amp;utm_id="&amp;I44)&amp;IF(M44="","","&amp;utm_source_platform="&amp;M44)&amp;IF(H44="","","&amp;utm_term="&amp;LOWER(SUBSTITUTE(TRIM(H44)," ","_")))&amp;IF(N44="","","&amp;utm_content="&amp;N44)&amp;IF(O44="","","&amp;utm_creative_format="&amp;O44)&amp;IF(P44="","","&amp;utm_marketing_tactic="&amp;P44))</f>
        <v/>
      </c>
    </row>
    <row r="45" customFormat="false" ht="15" hidden="false" customHeight="false" outlineLevel="0" collapsed="false">
      <c r="A45" s="8" t="str">
        <f aca="false">IF(B45="","",ROW()-16)</f>
        <v/>
      </c>
      <c r="B45" s="5"/>
      <c r="C45" s="5"/>
      <c r="D45" s="5"/>
      <c r="E45" s="5"/>
      <c r="F45" s="5"/>
      <c r="G45" s="5"/>
      <c r="H45" s="5"/>
      <c r="I45" s="8" t="str">
        <f aca="false">IF(OR($B45="",$B$7=""),"",LOWER(SUBSTITUTE(TRIM($B$7)," ","_")))</f>
        <v/>
      </c>
      <c r="J45" s="8" t="str">
        <f aca="false">IF($B45="","",LOWER(SUBSTITUTE(TRIM($B$8)," ","_")))</f>
        <v/>
      </c>
      <c r="K45" s="8" t="str">
        <f aca="false">IF($B45="","",LOWER(SUBSTITUTE(TRIM($B$9)," ","_")))</f>
        <v/>
      </c>
      <c r="L45" s="8" t="str">
        <f aca="false">IF($B45="","",LOWER(SUBSTITUTE(TRIM($B$10)," ","_")))</f>
        <v/>
      </c>
      <c r="M45" s="8" t="str">
        <f aca="false">IF($B45="","",LOWER(SUBSTITUTE(TRIM($B$11)," ","_")))</f>
        <v/>
      </c>
      <c r="N45" s="8" t="str">
        <f aca="false">IF($B45="","",LOWER(SUBSTITUTE(TRIM(IF(D45="",C45,D45))," ","_")))</f>
        <v/>
      </c>
      <c r="O45" s="8" t="str">
        <f aca="false">IF($B45="","",LOWER(SUBSTITUTE(TRIM(IF(F45="",$B$12,F45))," ","_")))</f>
        <v/>
      </c>
      <c r="P45" s="8" t="str">
        <f aca="false">IF($B45="","",LOWER(SUBSTITUTE(TRIM(IF(G45="",$B$13,G45))," ","_")))</f>
        <v/>
      </c>
      <c r="Q45" s="8" t="str">
        <f aca="false">IF(B45="","",TRIM(IF(E45="",$B$6,E45))&amp;IF(ISNUMBER(FIND("?",TRIM(IF(E45="",$B$6,E45)))),"&amp;","?")&amp;"utm_source="&amp;J45&amp;"&amp;utm_medium="&amp;K45&amp;"&amp;utm_campaign="&amp;L45&amp;IF(I45="","","&amp;utm_id="&amp;I45)&amp;IF(M45="","","&amp;utm_source_platform="&amp;M45)&amp;IF(H45="","","&amp;utm_term="&amp;LOWER(SUBSTITUTE(TRIM(H45)," ","_")))&amp;IF(N45="","","&amp;utm_content="&amp;N45)&amp;IF(O45="","","&amp;utm_creative_format="&amp;O45)&amp;IF(P45="","","&amp;utm_marketing_tactic="&amp;P45))</f>
        <v/>
      </c>
    </row>
    <row r="46" customFormat="false" ht="15" hidden="false" customHeight="false" outlineLevel="0" collapsed="false">
      <c r="A46" s="8" t="str">
        <f aca="false">IF(B46="","",ROW()-16)</f>
        <v/>
      </c>
      <c r="B46" s="5"/>
      <c r="C46" s="5"/>
      <c r="D46" s="5"/>
      <c r="E46" s="5"/>
      <c r="F46" s="5"/>
      <c r="G46" s="5"/>
      <c r="H46" s="5"/>
      <c r="I46" s="8" t="str">
        <f aca="false">IF(OR($B46="",$B$7=""),"",LOWER(SUBSTITUTE(TRIM($B$7)," ","_")))</f>
        <v/>
      </c>
      <c r="J46" s="8" t="str">
        <f aca="false">IF($B46="","",LOWER(SUBSTITUTE(TRIM($B$8)," ","_")))</f>
        <v/>
      </c>
      <c r="K46" s="8" t="str">
        <f aca="false">IF($B46="","",LOWER(SUBSTITUTE(TRIM($B$9)," ","_")))</f>
        <v/>
      </c>
      <c r="L46" s="8" t="str">
        <f aca="false">IF($B46="","",LOWER(SUBSTITUTE(TRIM($B$10)," ","_")))</f>
        <v/>
      </c>
      <c r="M46" s="8" t="str">
        <f aca="false">IF($B46="","",LOWER(SUBSTITUTE(TRIM($B$11)," ","_")))</f>
        <v/>
      </c>
      <c r="N46" s="8" t="str">
        <f aca="false">IF($B46="","",LOWER(SUBSTITUTE(TRIM(IF(D46="",C46,D46))," ","_")))</f>
        <v/>
      </c>
      <c r="O46" s="8" t="str">
        <f aca="false">IF($B46="","",LOWER(SUBSTITUTE(TRIM(IF(F46="",$B$12,F46))," ","_")))</f>
        <v/>
      </c>
      <c r="P46" s="8" t="str">
        <f aca="false">IF($B46="","",LOWER(SUBSTITUTE(TRIM(IF(G46="",$B$13,G46))," ","_")))</f>
        <v/>
      </c>
      <c r="Q46" s="8" t="str">
        <f aca="false">IF(B46="","",TRIM(IF(E46="",$B$6,E46))&amp;IF(ISNUMBER(FIND("?",TRIM(IF(E46="",$B$6,E46)))),"&amp;","?")&amp;"utm_source="&amp;J46&amp;"&amp;utm_medium="&amp;K46&amp;"&amp;utm_campaign="&amp;L46&amp;IF(I46="","","&amp;utm_id="&amp;I46)&amp;IF(M46="","","&amp;utm_source_platform="&amp;M46)&amp;IF(H46="","","&amp;utm_term="&amp;LOWER(SUBSTITUTE(TRIM(H46)," ","_")))&amp;IF(N46="","","&amp;utm_content="&amp;N46)&amp;IF(O46="","","&amp;utm_creative_format="&amp;O46)&amp;IF(P46="","","&amp;utm_marketing_tactic="&amp;P46))</f>
        <v/>
      </c>
    </row>
    <row r="47" customFormat="false" ht="15" hidden="false" customHeight="false" outlineLevel="0" collapsed="false">
      <c r="A47" s="8" t="str">
        <f aca="false">IF(B47="","",ROW()-16)</f>
        <v/>
      </c>
      <c r="B47" s="5"/>
      <c r="C47" s="5"/>
      <c r="D47" s="5"/>
      <c r="E47" s="5"/>
      <c r="F47" s="5"/>
      <c r="G47" s="5"/>
      <c r="H47" s="5"/>
      <c r="I47" s="8" t="str">
        <f aca="false">IF(OR($B47="",$B$7=""),"",LOWER(SUBSTITUTE(TRIM($B$7)," ","_")))</f>
        <v/>
      </c>
      <c r="J47" s="8" t="str">
        <f aca="false">IF($B47="","",LOWER(SUBSTITUTE(TRIM($B$8)," ","_")))</f>
        <v/>
      </c>
      <c r="K47" s="8" t="str">
        <f aca="false">IF($B47="","",LOWER(SUBSTITUTE(TRIM($B$9)," ","_")))</f>
        <v/>
      </c>
      <c r="L47" s="8" t="str">
        <f aca="false">IF($B47="","",LOWER(SUBSTITUTE(TRIM($B$10)," ","_")))</f>
        <v/>
      </c>
      <c r="M47" s="8" t="str">
        <f aca="false">IF($B47="","",LOWER(SUBSTITUTE(TRIM($B$11)," ","_")))</f>
        <v/>
      </c>
      <c r="N47" s="8" t="str">
        <f aca="false">IF($B47="","",LOWER(SUBSTITUTE(TRIM(IF(D47="",C47,D47))," ","_")))</f>
        <v/>
      </c>
      <c r="O47" s="8" t="str">
        <f aca="false">IF($B47="","",LOWER(SUBSTITUTE(TRIM(IF(F47="",$B$12,F47))," ","_")))</f>
        <v/>
      </c>
      <c r="P47" s="8" t="str">
        <f aca="false">IF($B47="","",LOWER(SUBSTITUTE(TRIM(IF(G47="",$B$13,G47))," ","_")))</f>
        <v/>
      </c>
      <c r="Q47" s="8" t="str">
        <f aca="false">IF(B47="","",TRIM(IF(E47="",$B$6,E47))&amp;IF(ISNUMBER(FIND("?",TRIM(IF(E47="",$B$6,E47)))),"&amp;","?")&amp;"utm_source="&amp;J47&amp;"&amp;utm_medium="&amp;K47&amp;"&amp;utm_campaign="&amp;L47&amp;IF(I47="","","&amp;utm_id="&amp;I47)&amp;IF(M47="","","&amp;utm_source_platform="&amp;M47)&amp;IF(H47="","","&amp;utm_term="&amp;LOWER(SUBSTITUTE(TRIM(H47)," ","_")))&amp;IF(N47="","","&amp;utm_content="&amp;N47)&amp;IF(O47="","","&amp;utm_creative_format="&amp;O47)&amp;IF(P47="","","&amp;utm_marketing_tactic="&amp;P47))</f>
        <v/>
      </c>
    </row>
    <row r="48" customFormat="false" ht="15" hidden="false" customHeight="false" outlineLevel="0" collapsed="false">
      <c r="A48" s="8" t="str">
        <f aca="false">IF(B48="","",ROW()-16)</f>
        <v/>
      </c>
      <c r="B48" s="5"/>
      <c r="C48" s="5"/>
      <c r="D48" s="5"/>
      <c r="E48" s="5"/>
      <c r="F48" s="5"/>
      <c r="G48" s="5"/>
      <c r="H48" s="5"/>
      <c r="I48" s="8" t="str">
        <f aca="false">IF(OR($B48="",$B$7=""),"",LOWER(SUBSTITUTE(TRIM($B$7)," ","_")))</f>
        <v/>
      </c>
      <c r="J48" s="8" t="str">
        <f aca="false">IF($B48="","",LOWER(SUBSTITUTE(TRIM($B$8)," ","_")))</f>
        <v/>
      </c>
      <c r="K48" s="8" t="str">
        <f aca="false">IF($B48="","",LOWER(SUBSTITUTE(TRIM($B$9)," ","_")))</f>
        <v/>
      </c>
      <c r="L48" s="8" t="str">
        <f aca="false">IF($B48="","",LOWER(SUBSTITUTE(TRIM($B$10)," ","_")))</f>
        <v/>
      </c>
      <c r="M48" s="8" t="str">
        <f aca="false">IF($B48="","",LOWER(SUBSTITUTE(TRIM($B$11)," ","_")))</f>
        <v/>
      </c>
      <c r="N48" s="8" t="str">
        <f aca="false">IF($B48="","",LOWER(SUBSTITUTE(TRIM(IF(D48="",C48,D48))," ","_")))</f>
        <v/>
      </c>
      <c r="O48" s="8" t="str">
        <f aca="false">IF($B48="","",LOWER(SUBSTITUTE(TRIM(IF(F48="",$B$12,F48))," ","_")))</f>
        <v/>
      </c>
      <c r="P48" s="8" t="str">
        <f aca="false">IF($B48="","",LOWER(SUBSTITUTE(TRIM(IF(G48="",$B$13,G48))," ","_")))</f>
        <v/>
      </c>
      <c r="Q48" s="8" t="str">
        <f aca="false">IF(B48="","",TRIM(IF(E48="",$B$6,E48))&amp;IF(ISNUMBER(FIND("?",TRIM(IF(E48="",$B$6,E48)))),"&amp;","?")&amp;"utm_source="&amp;J48&amp;"&amp;utm_medium="&amp;K48&amp;"&amp;utm_campaign="&amp;L48&amp;IF(I48="","","&amp;utm_id="&amp;I48)&amp;IF(M48="","","&amp;utm_source_platform="&amp;M48)&amp;IF(H48="","","&amp;utm_term="&amp;LOWER(SUBSTITUTE(TRIM(H48)," ","_")))&amp;IF(N48="","","&amp;utm_content="&amp;N48)&amp;IF(O48="","","&amp;utm_creative_format="&amp;O48)&amp;IF(P48="","","&amp;utm_marketing_tactic="&amp;P48))</f>
        <v/>
      </c>
    </row>
    <row r="49" customFormat="false" ht="15" hidden="false" customHeight="false" outlineLevel="0" collapsed="false">
      <c r="A49" s="8" t="str">
        <f aca="false">IF(B49="","",ROW()-16)</f>
        <v/>
      </c>
      <c r="B49" s="5"/>
      <c r="C49" s="5"/>
      <c r="D49" s="5"/>
      <c r="E49" s="5"/>
      <c r="F49" s="5"/>
      <c r="G49" s="5"/>
      <c r="H49" s="5"/>
      <c r="I49" s="8" t="str">
        <f aca="false">IF(OR($B49="",$B$7=""),"",LOWER(SUBSTITUTE(TRIM($B$7)," ","_")))</f>
        <v/>
      </c>
      <c r="J49" s="8" t="str">
        <f aca="false">IF($B49="","",LOWER(SUBSTITUTE(TRIM($B$8)," ","_")))</f>
        <v/>
      </c>
      <c r="K49" s="8" t="str">
        <f aca="false">IF($B49="","",LOWER(SUBSTITUTE(TRIM($B$9)," ","_")))</f>
        <v/>
      </c>
      <c r="L49" s="8" t="str">
        <f aca="false">IF($B49="","",LOWER(SUBSTITUTE(TRIM($B$10)," ","_")))</f>
        <v/>
      </c>
      <c r="M49" s="8" t="str">
        <f aca="false">IF($B49="","",LOWER(SUBSTITUTE(TRIM($B$11)," ","_")))</f>
        <v/>
      </c>
      <c r="N49" s="8" t="str">
        <f aca="false">IF($B49="","",LOWER(SUBSTITUTE(TRIM(IF(D49="",C49,D49))," ","_")))</f>
        <v/>
      </c>
      <c r="O49" s="8" t="str">
        <f aca="false">IF($B49="","",LOWER(SUBSTITUTE(TRIM(IF(F49="",$B$12,F49))," ","_")))</f>
        <v/>
      </c>
      <c r="P49" s="8" t="str">
        <f aca="false">IF($B49="","",LOWER(SUBSTITUTE(TRIM(IF(G49="",$B$13,G49))," ","_")))</f>
        <v/>
      </c>
      <c r="Q49" s="8" t="str">
        <f aca="false">IF(B49="","",TRIM(IF(E49="",$B$6,E49))&amp;IF(ISNUMBER(FIND("?",TRIM(IF(E49="",$B$6,E49)))),"&amp;","?")&amp;"utm_source="&amp;J49&amp;"&amp;utm_medium="&amp;K49&amp;"&amp;utm_campaign="&amp;L49&amp;IF(I49="","","&amp;utm_id="&amp;I49)&amp;IF(M49="","","&amp;utm_source_platform="&amp;M49)&amp;IF(H49="","","&amp;utm_term="&amp;LOWER(SUBSTITUTE(TRIM(H49)," ","_")))&amp;IF(N49="","","&amp;utm_content="&amp;N49)&amp;IF(O49="","","&amp;utm_creative_format="&amp;O49)&amp;IF(P49="","","&amp;utm_marketing_tactic="&amp;P49))</f>
        <v/>
      </c>
    </row>
    <row r="50" customFormat="false" ht="15" hidden="false" customHeight="false" outlineLevel="0" collapsed="false">
      <c r="A50" s="8" t="str">
        <f aca="false">IF(B50="","",ROW()-16)</f>
        <v/>
      </c>
      <c r="B50" s="5"/>
      <c r="C50" s="5"/>
      <c r="D50" s="5"/>
      <c r="E50" s="5"/>
      <c r="F50" s="5"/>
      <c r="G50" s="5"/>
      <c r="H50" s="5"/>
      <c r="I50" s="8" t="str">
        <f aca="false">IF(OR($B50="",$B$7=""),"",LOWER(SUBSTITUTE(TRIM($B$7)," ","_")))</f>
        <v/>
      </c>
      <c r="J50" s="8" t="str">
        <f aca="false">IF($B50="","",LOWER(SUBSTITUTE(TRIM($B$8)," ","_")))</f>
        <v/>
      </c>
      <c r="K50" s="8" t="str">
        <f aca="false">IF($B50="","",LOWER(SUBSTITUTE(TRIM($B$9)," ","_")))</f>
        <v/>
      </c>
      <c r="L50" s="8" t="str">
        <f aca="false">IF($B50="","",LOWER(SUBSTITUTE(TRIM($B$10)," ","_")))</f>
        <v/>
      </c>
      <c r="M50" s="8" t="str">
        <f aca="false">IF($B50="","",LOWER(SUBSTITUTE(TRIM($B$11)," ","_")))</f>
        <v/>
      </c>
      <c r="N50" s="8" t="str">
        <f aca="false">IF($B50="","",LOWER(SUBSTITUTE(TRIM(IF(D50="",C50,D50))," ","_")))</f>
        <v/>
      </c>
      <c r="O50" s="8" t="str">
        <f aca="false">IF($B50="","",LOWER(SUBSTITUTE(TRIM(IF(F50="",$B$12,F50))," ","_")))</f>
        <v/>
      </c>
      <c r="P50" s="8" t="str">
        <f aca="false">IF($B50="","",LOWER(SUBSTITUTE(TRIM(IF(G50="",$B$13,G50))," ","_")))</f>
        <v/>
      </c>
      <c r="Q50" s="8" t="str">
        <f aca="false">IF(B50="","",TRIM(IF(E50="",$B$6,E50))&amp;IF(ISNUMBER(FIND("?",TRIM(IF(E50="",$B$6,E50)))),"&amp;","?")&amp;"utm_source="&amp;J50&amp;"&amp;utm_medium="&amp;K50&amp;"&amp;utm_campaign="&amp;L50&amp;IF(I50="","","&amp;utm_id="&amp;I50)&amp;IF(M50="","","&amp;utm_source_platform="&amp;M50)&amp;IF(H50="","","&amp;utm_term="&amp;LOWER(SUBSTITUTE(TRIM(H50)," ","_")))&amp;IF(N50="","","&amp;utm_content="&amp;N50)&amp;IF(O50="","","&amp;utm_creative_format="&amp;O50)&amp;IF(P50="","","&amp;utm_marketing_tactic="&amp;P50))</f>
        <v/>
      </c>
    </row>
    <row r="51" customFormat="false" ht="15" hidden="false" customHeight="false" outlineLevel="0" collapsed="false">
      <c r="A51" s="8" t="str">
        <f aca="false">IF(B51="","",ROW()-16)</f>
        <v/>
      </c>
      <c r="B51" s="5"/>
      <c r="C51" s="5"/>
      <c r="D51" s="5"/>
      <c r="E51" s="5"/>
      <c r="F51" s="5"/>
      <c r="G51" s="5"/>
      <c r="H51" s="5"/>
      <c r="I51" s="8" t="str">
        <f aca="false">IF(OR($B51="",$B$7=""),"",LOWER(SUBSTITUTE(TRIM($B$7)," ","_")))</f>
        <v/>
      </c>
      <c r="J51" s="8" t="str">
        <f aca="false">IF($B51="","",LOWER(SUBSTITUTE(TRIM($B$8)," ","_")))</f>
        <v/>
      </c>
      <c r="K51" s="8" t="str">
        <f aca="false">IF($B51="","",LOWER(SUBSTITUTE(TRIM($B$9)," ","_")))</f>
        <v/>
      </c>
      <c r="L51" s="8" t="str">
        <f aca="false">IF($B51="","",LOWER(SUBSTITUTE(TRIM($B$10)," ","_")))</f>
        <v/>
      </c>
      <c r="M51" s="8" t="str">
        <f aca="false">IF($B51="","",LOWER(SUBSTITUTE(TRIM($B$11)," ","_")))</f>
        <v/>
      </c>
      <c r="N51" s="8" t="str">
        <f aca="false">IF($B51="","",LOWER(SUBSTITUTE(TRIM(IF(D51="",C51,D51))," ","_")))</f>
        <v/>
      </c>
      <c r="O51" s="8" t="str">
        <f aca="false">IF($B51="","",LOWER(SUBSTITUTE(TRIM(IF(F51="",$B$12,F51))," ","_")))</f>
        <v/>
      </c>
      <c r="P51" s="8" t="str">
        <f aca="false">IF($B51="","",LOWER(SUBSTITUTE(TRIM(IF(G51="",$B$13,G51))," ","_")))</f>
        <v/>
      </c>
      <c r="Q51" s="8" t="str">
        <f aca="false">IF(B51="","",TRIM(IF(E51="",$B$6,E51))&amp;IF(ISNUMBER(FIND("?",TRIM(IF(E51="",$B$6,E51)))),"&amp;","?")&amp;"utm_source="&amp;J51&amp;"&amp;utm_medium="&amp;K51&amp;"&amp;utm_campaign="&amp;L51&amp;IF(I51="","","&amp;utm_id="&amp;I51)&amp;IF(M51="","","&amp;utm_source_platform="&amp;M51)&amp;IF(H51="","","&amp;utm_term="&amp;LOWER(SUBSTITUTE(TRIM(H51)," ","_")))&amp;IF(N51="","","&amp;utm_content="&amp;N51)&amp;IF(O51="","","&amp;utm_creative_format="&amp;O51)&amp;IF(P51="","","&amp;utm_marketing_tactic="&amp;P51))</f>
        <v/>
      </c>
    </row>
    <row r="52" customFormat="false" ht="15" hidden="false" customHeight="false" outlineLevel="0" collapsed="false">
      <c r="A52" s="8" t="str">
        <f aca="false">IF(B52="","",ROW()-16)</f>
        <v/>
      </c>
      <c r="B52" s="5"/>
      <c r="C52" s="5"/>
      <c r="D52" s="5"/>
      <c r="E52" s="5"/>
      <c r="F52" s="5"/>
      <c r="G52" s="5"/>
      <c r="H52" s="5"/>
      <c r="I52" s="8" t="str">
        <f aca="false">IF(OR($B52="",$B$7=""),"",LOWER(SUBSTITUTE(TRIM($B$7)," ","_")))</f>
        <v/>
      </c>
      <c r="J52" s="8" t="str">
        <f aca="false">IF($B52="","",LOWER(SUBSTITUTE(TRIM($B$8)," ","_")))</f>
        <v/>
      </c>
      <c r="K52" s="8" t="str">
        <f aca="false">IF($B52="","",LOWER(SUBSTITUTE(TRIM($B$9)," ","_")))</f>
        <v/>
      </c>
      <c r="L52" s="8" t="str">
        <f aca="false">IF($B52="","",LOWER(SUBSTITUTE(TRIM($B$10)," ","_")))</f>
        <v/>
      </c>
      <c r="M52" s="8" t="str">
        <f aca="false">IF($B52="","",LOWER(SUBSTITUTE(TRIM($B$11)," ","_")))</f>
        <v/>
      </c>
      <c r="N52" s="8" t="str">
        <f aca="false">IF($B52="","",LOWER(SUBSTITUTE(TRIM(IF(D52="",C52,D52))," ","_")))</f>
        <v/>
      </c>
      <c r="O52" s="8" t="str">
        <f aca="false">IF($B52="","",LOWER(SUBSTITUTE(TRIM(IF(F52="",$B$12,F52))," ","_")))</f>
        <v/>
      </c>
      <c r="P52" s="8" t="str">
        <f aca="false">IF($B52="","",LOWER(SUBSTITUTE(TRIM(IF(G52="",$B$13,G52))," ","_")))</f>
        <v/>
      </c>
      <c r="Q52" s="8" t="str">
        <f aca="false">IF(B52="","",TRIM(IF(E52="",$B$6,E52))&amp;IF(ISNUMBER(FIND("?",TRIM(IF(E52="",$B$6,E52)))),"&amp;","?")&amp;"utm_source="&amp;J52&amp;"&amp;utm_medium="&amp;K52&amp;"&amp;utm_campaign="&amp;L52&amp;IF(I52="","","&amp;utm_id="&amp;I52)&amp;IF(M52="","","&amp;utm_source_platform="&amp;M52)&amp;IF(H52="","","&amp;utm_term="&amp;LOWER(SUBSTITUTE(TRIM(H52)," ","_")))&amp;IF(N52="","","&amp;utm_content="&amp;N52)&amp;IF(O52="","","&amp;utm_creative_format="&amp;O52)&amp;IF(P52="","","&amp;utm_marketing_tactic="&amp;P52))</f>
        <v/>
      </c>
    </row>
    <row r="53" customFormat="false" ht="15" hidden="false" customHeight="false" outlineLevel="0" collapsed="false">
      <c r="A53" s="8" t="str">
        <f aca="false">IF(B53="","",ROW()-16)</f>
        <v/>
      </c>
      <c r="B53" s="5"/>
      <c r="C53" s="5"/>
      <c r="D53" s="5"/>
      <c r="E53" s="5"/>
      <c r="F53" s="5"/>
      <c r="G53" s="5"/>
      <c r="H53" s="5"/>
      <c r="I53" s="8" t="str">
        <f aca="false">IF(OR($B53="",$B$7=""),"",LOWER(SUBSTITUTE(TRIM($B$7)," ","_")))</f>
        <v/>
      </c>
      <c r="J53" s="8" t="str">
        <f aca="false">IF($B53="","",LOWER(SUBSTITUTE(TRIM($B$8)," ","_")))</f>
        <v/>
      </c>
      <c r="K53" s="8" t="str">
        <f aca="false">IF($B53="","",LOWER(SUBSTITUTE(TRIM($B$9)," ","_")))</f>
        <v/>
      </c>
      <c r="L53" s="8" t="str">
        <f aca="false">IF($B53="","",LOWER(SUBSTITUTE(TRIM($B$10)," ","_")))</f>
        <v/>
      </c>
      <c r="M53" s="8" t="str">
        <f aca="false">IF($B53="","",LOWER(SUBSTITUTE(TRIM($B$11)," ","_")))</f>
        <v/>
      </c>
      <c r="N53" s="8" t="str">
        <f aca="false">IF($B53="","",LOWER(SUBSTITUTE(TRIM(IF(D53="",C53,D53))," ","_")))</f>
        <v/>
      </c>
      <c r="O53" s="8" t="str">
        <f aca="false">IF($B53="","",LOWER(SUBSTITUTE(TRIM(IF(F53="",$B$12,F53))," ","_")))</f>
        <v/>
      </c>
      <c r="P53" s="8" t="str">
        <f aca="false">IF($B53="","",LOWER(SUBSTITUTE(TRIM(IF(G53="",$B$13,G53))," ","_")))</f>
        <v/>
      </c>
      <c r="Q53" s="8" t="str">
        <f aca="false">IF(B53="","",TRIM(IF(E53="",$B$6,E53))&amp;IF(ISNUMBER(FIND("?",TRIM(IF(E53="",$B$6,E53)))),"&amp;","?")&amp;"utm_source="&amp;J53&amp;"&amp;utm_medium="&amp;K53&amp;"&amp;utm_campaign="&amp;L53&amp;IF(I53="","","&amp;utm_id="&amp;I53)&amp;IF(M53="","","&amp;utm_source_platform="&amp;M53)&amp;IF(H53="","","&amp;utm_term="&amp;LOWER(SUBSTITUTE(TRIM(H53)," ","_")))&amp;IF(N53="","","&amp;utm_content="&amp;N53)&amp;IF(O53="","","&amp;utm_creative_format="&amp;O53)&amp;IF(P53="","","&amp;utm_marketing_tactic="&amp;P53))</f>
        <v/>
      </c>
    </row>
    <row r="54" customFormat="false" ht="15" hidden="false" customHeight="false" outlineLevel="0" collapsed="false">
      <c r="A54" s="8" t="str">
        <f aca="false">IF(B54="","",ROW()-16)</f>
        <v/>
      </c>
      <c r="B54" s="5"/>
      <c r="C54" s="5"/>
      <c r="D54" s="5"/>
      <c r="E54" s="5"/>
      <c r="F54" s="5"/>
      <c r="G54" s="5"/>
      <c r="H54" s="5"/>
      <c r="I54" s="8" t="str">
        <f aca="false">IF(OR($B54="",$B$7=""),"",LOWER(SUBSTITUTE(TRIM($B$7)," ","_")))</f>
        <v/>
      </c>
      <c r="J54" s="8" t="str">
        <f aca="false">IF($B54="","",LOWER(SUBSTITUTE(TRIM($B$8)," ","_")))</f>
        <v/>
      </c>
      <c r="K54" s="8" t="str">
        <f aca="false">IF($B54="","",LOWER(SUBSTITUTE(TRIM($B$9)," ","_")))</f>
        <v/>
      </c>
      <c r="L54" s="8" t="str">
        <f aca="false">IF($B54="","",LOWER(SUBSTITUTE(TRIM($B$10)," ","_")))</f>
        <v/>
      </c>
      <c r="M54" s="8" t="str">
        <f aca="false">IF($B54="","",LOWER(SUBSTITUTE(TRIM($B$11)," ","_")))</f>
        <v/>
      </c>
      <c r="N54" s="8" t="str">
        <f aca="false">IF($B54="","",LOWER(SUBSTITUTE(TRIM(IF(D54="",C54,D54))," ","_")))</f>
        <v/>
      </c>
      <c r="O54" s="8" t="str">
        <f aca="false">IF($B54="","",LOWER(SUBSTITUTE(TRIM(IF(F54="",$B$12,F54))," ","_")))</f>
        <v/>
      </c>
      <c r="P54" s="8" t="str">
        <f aca="false">IF($B54="","",LOWER(SUBSTITUTE(TRIM(IF(G54="",$B$13,G54))," ","_")))</f>
        <v/>
      </c>
      <c r="Q54" s="8" t="str">
        <f aca="false">IF(B54="","",TRIM(IF(E54="",$B$6,E54))&amp;IF(ISNUMBER(FIND("?",TRIM(IF(E54="",$B$6,E54)))),"&amp;","?")&amp;"utm_source="&amp;J54&amp;"&amp;utm_medium="&amp;K54&amp;"&amp;utm_campaign="&amp;L54&amp;IF(I54="","","&amp;utm_id="&amp;I54)&amp;IF(M54="","","&amp;utm_source_platform="&amp;M54)&amp;IF(H54="","","&amp;utm_term="&amp;LOWER(SUBSTITUTE(TRIM(H54)," ","_")))&amp;IF(N54="","","&amp;utm_content="&amp;N54)&amp;IF(O54="","","&amp;utm_creative_format="&amp;O54)&amp;IF(P54="","","&amp;utm_marketing_tactic="&amp;P54))</f>
        <v/>
      </c>
    </row>
    <row r="55" customFormat="false" ht="15" hidden="false" customHeight="false" outlineLevel="0" collapsed="false">
      <c r="A55" s="8" t="str">
        <f aca="false">IF(B55="","",ROW()-16)</f>
        <v/>
      </c>
      <c r="B55" s="5"/>
      <c r="C55" s="5"/>
      <c r="D55" s="5"/>
      <c r="E55" s="5"/>
      <c r="F55" s="5"/>
      <c r="G55" s="5"/>
      <c r="H55" s="5"/>
      <c r="I55" s="8" t="str">
        <f aca="false">IF(OR($B55="",$B$7=""),"",LOWER(SUBSTITUTE(TRIM($B$7)," ","_")))</f>
        <v/>
      </c>
      <c r="J55" s="8" t="str">
        <f aca="false">IF($B55="","",LOWER(SUBSTITUTE(TRIM($B$8)," ","_")))</f>
        <v/>
      </c>
      <c r="K55" s="8" t="str">
        <f aca="false">IF($B55="","",LOWER(SUBSTITUTE(TRIM($B$9)," ","_")))</f>
        <v/>
      </c>
      <c r="L55" s="8" t="str">
        <f aca="false">IF($B55="","",LOWER(SUBSTITUTE(TRIM($B$10)," ","_")))</f>
        <v/>
      </c>
      <c r="M55" s="8" t="str">
        <f aca="false">IF($B55="","",LOWER(SUBSTITUTE(TRIM($B$11)," ","_")))</f>
        <v/>
      </c>
      <c r="N55" s="8" t="str">
        <f aca="false">IF($B55="","",LOWER(SUBSTITUTE(TRIM(IF(D55="",C55,D55))," ","_")))</f>
        <v/>
      </c>
      <c r="O55" s="8" t="str">
        <f aca="false">IF($B55="","",LOWER(SUBSTITUTE(TRIM(IF(F55="",$B$12,F55))," ","_")))</f>
        <v/>
      </c>
      <c r="P55" s="8" t="str">
        <f aca="false">IF($B55="","",LOWER(SUBSTITUTE(TRIM(IF(G55="",$B$13,G55))," ","_")))</f>
        <v/>
      </c>
      <c r="Q55" s="8" t="str">
        <f aca="false">IF(B55="","",TRIM(IF(E55="",$B$6,E55))&amp;IF(ISNUMBER(FIND("?",TRIM(IF(E55="",$B$6,E55)))),"&amp;","?")&amp;"utm_source="&amp;J55&amp;"&amp;utm_medium="&amp;K55&amp;"&amp;utm_campaign="&amp;L55&amp;IF(I55="","","&amp;utm_id="&amp;I55)&amp;IF(M55="","","&amp;utm_source_platform="&amp;M55)&amp;IF(H55="","","&amp;utm_term="&amp;LOWER(SUBSTITUTE(TRIM(H55)," ","_")))&amp;IF(N55="","","&amp;utm_content="&amp;N55)&amp;IF(O55="","","&amp;utm_creative_format="&amp;O55)&amp;IF(P55="","","&amp;utm_marketing_tactic="&amp;P55))</f>
        <v/>
      </c>
    </row>
    <row r="56" customFormat="false" ht="15" hidden="false" customHeight="false" outlineLevel="0" collapsed="false">
      <c r="A56" s="8" t="str">
        <f aca="false">IF(B56="","",ROW()-16)</f>
        <v/>
      </c>
      <c r="B56" s="5"/>
      <c r="C56" s="5"/>
      <c r="D56" s="5"/>
      <c r="E56" s="5"/>
      <c r="F56" s="5"/>
      <c r="G56" s="5"/>
      <c r="H56" s="5"/>
      <c r="I56" s="8" t="str">
        <f aca="false">IF(OR($B56="",$B$7=""),"",LOWER(SUBSTITUTE(TRIM($B$7)," ","_")))</f>
        <v/>
      </c>
      <c r="J56" s="8" t="str">
        <f aca="false">IF($B56="","",LOWER(SUBSTITUTE(TRIM($B$8)," ","_")))</f>
        <v/>
      </c>
      <c r="K56" s="8" t="str">
        <f aca="false">IF($B56="","",LOWER(SUBSTITUTE(TRIM($B$9)," ","_")))</f>
        <v/>
      </c>
      <c r="L56" s="8" t="str">
        <f aca="false">IF($B56="","",LOWER(SUBSTITUTE(TRIM($B$10)," ","_")))</f>
        <v/>
      </c>
      <c r="M56" s="8" t="str">
        <f aca="false">IF($B56="","",LOWER(SUBSTITUTE(TRIM($B$11)," ","_")))</f>
        <v/>
      </c>
      <c r="N56" s="8" t="str">
        <f aca="false">IF($B56="","",LOWER(SUBSTITUTE(TRIM(IF(D56="",C56,D56))," ","_")))</f>
        <v/>
      </c>
      <c r="O56" s="8" t="str">
        <f aca="false">IF($B56="","",LOWER(SUBSTITUTE(TRIM(IF(F56="",$B$12,F56))," ","_")))</f>
        <v/>
      </c>
      <c r="P56" s="8" t="str">
        <f aca="false">IF($B56="","",LOWER(SUBSTITUTE(TRIM(IF(G56="",$B$13,G56))," ","_")))</f>
        <v/>
      </c>
      <c r="Q56" s="8" t="str">
        <f aca="false">IF(B56="","",TRIM(IF(E56="",$B$6,E56))&amp;IF(ISNUMBER(FIND("?",TRIM(IF(E56="",$B$6,E56)))),"&amp;","?")&amp;"utm_source="&amp;J56&amp;"&amp;utm_medium="&amp;K56&amp;"&amp;utm_campaign="&amp;L56&amp;IF(I56="","","&amp;utm_id="&amp;I56)&amp;IF(M56="","","&amp;utm_source_platform="&amp;M56)&amp;IF(H56="","","&amp;utm_term="&amp;LOWER(SUBSTITUTE(TRIM(H56)," ","_")))&amp;IF(N56="","","&amp;utm_content="&amp;N56)&amp;IF(O56="","","&amp;utm_creative_format="&amp;O56)&amp;IF(P56="","","&amp;utm_marketing_tactic="&amp;P56))</f>
        <v/>
      </c>
    </row>
    <row r="58" customFormat="false" ht="15" hidden="false" customHeight="false" outlineLevel="0" collapsed="false">
      <c r="A58" s="2" t="s">
        <v>40</v>
      </c>
    </row>
  </sheetData>
  <dataValidations count="1">
    <dataValidation allowBlank="true" errorStyle="stop" operator="between" showDropDown="false" showErrorMessage="false" showInputMessage="false" sqref="F17:F56" type="list">
      <formula1>"display,native,video,rich_media,interstitial"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2026-10-08T20:29:35Z</dcterms:created>
  <dc:creator>openpyxl</dc:creator>
  <dc:description/>
  <dc:language>en-US</dc:language>
  <cp:lastModifiedBy/>
  <dcterms:modified xsi:type="dcterms:W3CDTF">2026-10-08T20:29:35Z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